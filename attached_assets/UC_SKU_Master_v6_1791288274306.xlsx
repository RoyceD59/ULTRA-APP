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FIXED_COSTS" sheetId="1" state="visible" r:id="rId1"/>
    <sheet xmlns:r="http://schemas.openxmlformats.org/officeDocument/2006/relationships" name="BREAK_EVEN" sheetId="2" state="visible" r:id="rId2"/>
    <sheet xmlns:r="http://schemas.openxmlformats.org/officeDocument/2006/relationships" name="UNIT_ECONOMICS" sheetId="3" state="visible" r:id="rId3"/>
    <sheet xmlns:r="http://schemas.openxmlformats.org/officeDocument/2006/relationships" name="CHANNEL_ECONOMICS" sheetId="4" state="visible" r:id="rId4"/>
    <sheet xmlns:r="http://schemas.openxmlformats.org/officeDocument/2006/relationships" name="CLOSURE_PLAN" sheetId="5" state="visible" r:id="rId5"/>
    <sheet xmlns:r="http://schemas.openxmlformats.org/officeDocument/2006/relationships" name="GATE" sheetId="6" state="visible" r:id="rId6"/>
    <sheet xmlns:r="http://schemas.openxmlformats.org/officeDocument/2006/relationships" name="PL " sheetId="7" state="visible" r:id="rId7"/>
    <sheet xmlns:r="http://schemas.openxmlformats.org/officeDocument/2006/relationships" name="FIX_LOG" sheetId="8" state="visible" r:id="rId8"/>
    <sheet xmlns:r="http://schemas.openxmlformats.org/officeDocument/2006/relationships" name="ROOT_CAUSE" sheetId="9" state="visible" r:id="rId9"/>
    <sheet xmlns:r="http://schemas.openxmlformats.org/officeDocument/2006/relationships" name="R4_FLOOR_GATE" sheetId="10" state="visible" r:id="rId10"/>
    <sheet xmlns:r="http://schemas.openxmlformats.org/officeDocument/2006/relationships" name="OPEN_ITEMS" sheetId="11" state="visible" r:id="rId11"/>
    <sheet xmlns:r="http://schemas.openxmlformats.org/officeDocument/2006/relationships" name="00_READ_ME" sheetId="12" state="visible" r:id="rId12"/>
    <sheet xmlns:r="http://schemas.openxmlformats.org/officeDocument/2006/relationships" name="CHILD_SKU" sheetId="13" state="visible" r:id="rId13"/>
    <sheet xmlns:r="http://schemas.openxmlformats.org/officeDocument/2006/relationships" name="LOGISTICS_PL" sheetId="14" state="visible" r:id="rId14"/>
    <sheet xmlns:r="http://schemas.openxmlformats.org/officeDocument/2006/relationships" name="LANDED_COST_BUILD" sheetId="15" state="visible" r:id="rId15"/>
    <sheet xmlns:r="http://schemas.openxmlformats.org/officeDocument/2006/relationships" name="INBOUND_SHIPMENT" sheetId="16" state="visible" r:id="rId16"/>
    <sheet xmlns:r="http://schemas.openxmlformats.org/officeDocument/2006/relationships" name="SKU with PRICES" sheetId="17" state="visible" r:id="rId17"/>
    <sheet xmlns:r="http://schemas.openxmlformats.org/officeDocument/2006/relationships" name="GUARDRAILS" sheetId="18" state="visible" r:id="rId18"/>
    <sheet xmlns:r="http://schemas.openxmlformats.org/officeDocument/2006/relationships" name="SKU_REGISTRY" sheetId="19" state="visible" r:id="rId19"/>
    <sheet xmlns:r="http://schemas.openxmlformats.org/officeDocument/2006/relationships" name="CATALOGUE" sheetId="20" state="visible" r:id="rId20"/>
    <sheet xmlns:r="http://schemas.openxmlformats.org/officeDocument/2006/relationships" name="COUNT_SHEET" sheetId="21" state="visible" r:id="rId21"/>
  </sheets>
  <definedNames>
    <definedName name="MULT_RETAIL_CONS">'SKU with PRICES'!$Z$11</definedName>
    <definedName name="RATE_WHOLESALE_CONS">'SKU with PRICES'!$Z$12</definedName>
    <definedName name="RATE_CORPORATE_CONS">'SKU with PRICES'!$Z$13</definedName>
    <definedName name="RATE_INFLUENCER_CONS">'SKU with PRICES'!$Z$14</definedName>
    <definedName name="VAT_REGISTERED">'GUARDRAILS'!$C$7</definedName>
    <definedName name="R4_FLOOR">'GUARDRAILS'!$C$8</definedName>
    <definedName name="MIN_TIER_RATE">'GUARDRAILS'!$C$12</definedName>
    <definedName name="MULT_RETAIL">'GUARDRAILS'!$C$14</definedName>
    <definedName name="MULT_RETAIL_CORE">'GUARDRAILS'!$C$14</definedName>
    <definedName name="R4_MARKUP">'GUARDRAILS'!$C$5</definedName>
    <definedName name="VAT_RATE">'GUARDRAILS'!$C$6</definedName>
    <definedName name="TIER_WHOLESALE">'GUARDRAILS'!$C$9</definedName>
    <definedName name="TIER_CORPORATE">'GUARDRAILS'!$C$10</definedName>
    <definedName name="TIER_INFLUENCER">'GUARDRAILS'!$C$11</definedName>
    <definedName name="SAFETY_BUFFER">'GUARDRAILS'!$C$13</definedName>
    <definedName name="FX_USD_KES">'GUARDRAILS'!$C$15</definedName>
    <definedName name="FREIGHT_RATE">'GUARDRAILS'!$C$16</definedName>
    <definedName name="RATE_WHOLESALE">'GUARDRAILS'!$C$9</definedName>
    <definedName name="RATE_CORPORATE">'GUARDRAILS'!$C$10</definedName>
    <definedName name="RATE_INFLUENCER">'GUARDRAILS'!$C$11</definedName>
    <definedName name="SHRINK_ACTUAL">'GUARDRAILS'!$C$20</definedName>
    <definedName name="SHRINK_PLAN">'GUARDRAILS'!$C$21</definedName>
    <definedName name="EVENT_COST">'GUARDRAILS'!$C$22</definedName>
    <definedName name="UNITS_PER_EVENT">'GUARDRAILS'!$C$23</definedName>
    <definedName name="FEE_BANK">'GUARDRAILS'!$C$25</definedName>
    <definedName name="FEE_MPESA">'GUARDRAILS'!$C$26</definedName>
    <definedName name="FEE_CASH">'GUARDRAILS'!$C$27</definedName>
    <definedName name="MARKETING_MONTHLY">'GUARDRAILS'!$C$29</definedName>
    <definedName name="ACT_EVENTS">'GUARDRAILS'!$C$30</definedName>
    <definedName name="ACT_REVENUE_EST">'GUARDRAILS'!$C$31</definedName>
    <definedName name="FIXED_MONTHLY">'GUARDRAILS'!$C$28</definedName>
    <definedName name="AGENT_RATE">'GUARDRAILS'!$C$24</definedName>
  </definedNames>
  <calcPr calcId="191028" fullCalcOnLoad="1"/>
</workbook>
</file>

<file path=xl/styles.xml><?xml version="1.0" encoding="utf-8"?>
<styleSheet xmlns="http://schemas.openxmlformats.org/spreadsheetml/2006/main">
  <numFmts count="5">
    <numFmt numFmtId="164" formatCode="0.00_ "/>
    <numFmt numFmtId="165" formatCode="0.0_ "/>
    <numFmt numFmtId="166" formatCode="0.0%"/>
    <numFmt numFmtId="167" formatCode="0.0000"/>
    <numFmt numFmtId="168" formatCode="0.000%"/>
  </numFmts>
  <fonts count="31">
    <font>
      <name val="Calibri"/>
      <family val="2"/>
      <color theme="1"/>
      <sz val="11"/>
      <scheme val="minor"/>
    </font>
    <font>
      <name val="Calibri"/>
      <family val="2"/>
      <b val="1"/>
      <color theme="1"/>
      <sz val="11"/>
      <scheme val="minor"/>
    </font>
    <font>
      <name val="Calibri"/>
      <family val="2"/>
      <color theme="1"/>
      <sz val="11"/>
      <scheme val="minor"/>
    </font>
    <font>
      <name val="Calibri"/>
      <family val="2"/>
      <sz val="8"/>
      <scheme val="minor"/>
    </font>
    <font>
      <name val="Tahoma"/>
      <family val="2"/>
      <color indexed="81"/>
      <sz val="9"/>
    </font>
    <font>
      <name val="Tahoma"/>
      <family val="2"/>
      <b val="1"/>
      <color indexed="81"/>
      <sz val="9"/>
    </font>
    <font>
      <name val="Calibri"/>
      <family val="2"/>
      <b val="1"/>
      <color theme="0"/>
      <sz val="11"/>
      <scheme val="minor"/>
    </font>
    <font>
      <name val="Calibri"/>
      <family val="2"/>
      <b val="1"/>
      <color theme="1"/>
      <sz val="11"/>
      <u val="single"/>
      <scheme val="minor"/>
    </font>
    <font>
      <name val="Calibri"/>
      <charset val="134"/>
      <color theme="1"/>
      <sz val="11"/>
      <scheme val="minor"/>
    </font>
    <font>
      <name val="Calibri"/>
      <charset val="134"/>
      <b val="1"/>
      <color theme="1"/>
      <sz val="11"/>
    </font>
    <font>
      <name val="Calibri"/>
      <charset val="134"/>
      <color theme="1"/>
      <sz val="11"/>
    </font>
    <font>
      <name val="Calibri"/>
      <charset val="134"/>
      <color rgb="FFFF0000"/>
      <sz val="11"/>
    </font>
    <font>
      <name val="Calibri"/>
      <charset val="134"/>
      <sz val="12"/>
    </font>
    <font>
      <name val="Calibri"/>
      <charset val="134"/>
      <b val="1"/>
      <sz val="12"/>
    </font>
    <font>
      <name val="Calibri"/>
      <charset val="134"/>
      <b val="1"/>
      <sz val="20"/>
    </font>
    <font>
      <name val="Calibri"/>
      <charset val="134"/>
      <b val="1"/>
      <sz val="28"/>
    </font>
    <font>
      <name val="Arial"/>
      <charset val="134"/>
      <color rgb="FF000000"/>
      <sz val="12"/>
    </font>
    <font>
      <name val="Arial"/>
      <charset val="134"/>
      <sz val="12"/>
    </font>
    <font>
      <b val="1"/>
    </font>
    <font>
      <b val="1"/>
      <sz val="13"/>
    </font>
    <font>
      <b val="1"/>
      <color rgb="00FFFFFF"/>
    </font>
    <font>
      <b val="1"/>
      <color rgb="00C00000"/>
    </font>
    <font>
      <color rgb="00C00000"/>
    </font>
    <font>
      <b val="1"/>
      <color rgb="00C55A11"/>
    </font>
    <font>
      <b val="1"/>
      <color rgb="007F6000"/>
    </font>
    <font>
      <b val="1"/>
      <color rgb="00404040"/>
    </font>
    <font>
      <b val="1"/>
      <color rgb="001F6F3D"/>
    </font>
    <font>
      <b val="1"/>
      <sz val="12"/>
    </font>
    <font>
      <b val="1"/>
      <sz val="11"/>
    </font>
    <font/>
    <font>
      <color rgb="007F6000"/>
    </font>
  </fonts>
  <fills count="10">
    <fill>
      <patternFill/>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4" tint="0.7999816888943144"/>
        <bgColor theme="4" tint="0.7999816888943144"/>
      </patternFill>
    </fill>
    <fill>
      <patternFill patternType="solid">
        <fgColor theme="4" tint="0.5999938962981048"/>
        <bgColor theme="4" tint="0.5999938962981048"/>
      </patternFill>
    </fill>
    <fill>
      <patternFill patternType="solid">
        <fgColor theme="4"/>
        <bgColor theme="4"/>
      </patternFill>
    </fill>
    <fill>
      <patternFill patternType="solid">
        <fgColor theme="3" tint="0.5999938962981048"/>
        <bgColor indexed="64"/>
      </patternFill>
    </fill>
    <fill>
      <patternFill patternType="solid">
        <fgColor rgb="001F3864"/>
      </patternFill>
    </fill>
    <fill>
      <patternFill patternType="solid">
        <fgColor rgb="00FFF2CC"/>
      </patternFill>
    </fill>
  </fills>
  <borders count="17">
    <border>
      <left/>
      <right/>
      <top/>
      <bottom/>
      <diagonal/>
    </border>
    <border>
      <left style="thin">
        <color auto="1"/>
      </left>
      <right style="thin">
        <color auto="1"/>
      </right>
      <top/>
      <bottom style="thin">
        <color auto="1"/>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3">
    <xf numFmtId="0" fontId="2" fillId="0" borderId="0"/>
    <xf numFmtId="43" fontId="2" fillId="0" borderId="0"/>
    <xf numFmtId="0" fontId="8" fillId="0" borderId="0" applyAlignment="1">
      <alignment vertical="center"/>
    </xf>
  </cellStyleXfs>
  <cellXfs count="124">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43" fontId="1" fillId="0" borderId="0" applyAlignment="1" pivotButton="0" quotePrefix="0" xfId="1">
      <alignment vertical="center" wrapText="1"/>
    </xf>
    <xf numFmtId="43" fontId="1" fillId="0" borderId="0" applyAlignment="1" pivotButton="0" quotePrefix="0" xfId="1">
      <alignment vertical="center" wrapText="1"/>
    </xf>
    <xf numFmtId="0" fontId="8" fillId="0" borderId="0" applyAlignment="1" pivotButton="0" quotePrefix="0" xfId="2">
      <alignment vertical="center"/>
    </xf>
    <xf numFmtId="164" fontId="9" fillId="0" borderId="7" applyAlignment="1" pivotButton="0" quotePrefix="0" xfId="2">
      <alignment horizontal="center" vertical="center" wrapText="1"/>
    </xf>
    <xf numFmtId="165" fontId="9" fillId="0" borderId="7" applyAlignment="1" pivotButton="0" quotePrefix="0" xfId="2">
      <alignment horizontal="center" vertical="center" wrapText="1"/>
    </xf>
    <xf numFmtId="0" fontId="9" fillId="0" borderId="7" applyAlignment="1" pivotButton="0" quotePrefix="0" xfId="2">
      <alignment horizontal="center" vertical="center" wrapText="1"/>
    </xf>
    <xf numFmtId="0" fontId="9" fillId="0" borderId="8" applyAlignment="1" pivotButton="0" quotePrefix="0" xfId="2">
      <alignment vertical="center" wrapText="1"/>
    </xf>
    <xf numFmtId="0" fontId="9" fillId="0" borderId="9" applyAlignment="1" pivotButton="0" quotePrefix="0" xfId="2">
      <alignment horizontal="center" vertical="center"/>
    </xf>
    <xf numFmtId="0" fontId="9" fillId="0" borderId="7" applyAlignment="1" pivotButton="0" quotePrefix="0" xfId="2">
      <alignment horizontal="center" vertical="center"/>
    </xf>
    <xf numFmtId="0" fontId="10" fillId="0" borderId="10" applyAlignment="1" pivotButton="0" quotePrefix="0" xfId="2">
      <alignment horizontal="center" vertical="center" wrapText="1"/>
    </xf>
    <xf numFmtId="164" fontId="10" fillId="0" borderId="7" applyAlignment="1" pivotButton="0" quotePrefix="0" xfId="2">
      <alignment horizontal="center" vertical="center" wrapText="1"/>
    </xf>
    <xf numFmtId="0" fontId="10" fillId="0" borderId="11" applyAlignment="1" pivotButton="0" quotePrefix="0" xfId="2">
      <alignment horizontal="center" vertical="center" wrapText="1"/>
    </xf>
    <xf numFmtId="0" fontId="10" fillId="0" borderId="7" applyAlignment="1" pivotButton="0" quotePrefix="0" xfId="2">
      <alignment horizontal="center" vertical="center" wrapText="1"/>
    </xf>
    <xf numFmtId="0" fontId="10" fillId="0" borderId="7" applyAlignment="1" pivotButton="0" quotePrefix="0" xfId="2">
      <alignment horizontal="center" vertical="center"/>
    </xf>
    <xf numFmtId="0" fontId="8" fillId="0" borderId="7" applyAlignment="1" pivotButton="0" quotePrefix="0" xfId="2">
      <alignment horizontal="center" vertical="center"/>
    </xf>
    <xf numFmtId="0" fontId="10" fillId="0" borderId="1" applyAlignment="1" pivotButton="0" quotePrefix="0" xfId="2">
      <alignment vertical="center" wrapText="1"/>
    </xf>
    <xf numFmtId="0" fontId="10" fillId="0" borderId="12" applyAlignment="1" pivotButton="0" quotePrefix="0" xfId="2">
      <alignment vertical="center" wrapText="1"/>
    </xf>
    <xf numFmtId="0" fontId="9" fillId="0" borderId="11" applyAlignment="1" pivotButton="0" quotePrefix="0" xfId="2">
      <alignment horizontal="center" vertical="center" wrapText="1"/>
    </xf>
    <xf numFmtId="0" fontId="8" fillId="0" borderId="7" applyAlignment="1" pivotButton="0" quotePrefix="0" xfId="2">
      <alignment vertical="center"/>
    </xf>
    <xf numFmtId="0" fontId="13" fillId="0" borderId="7" applyAlignment="1" pivotButton="0" quotePrefix="0" xfId="2">
      <alignment horizontal="center" vertical="center" wrapText="1"/>
    </xf>
    <xf numFmtId="0" fontId="10" fillId="0" borderId="1" applyAlignment="1" pivotButton="0" quotePrefix="0" xfId="2">
      <alignment horizontal="center" vertical="center" wrapText="1"/>
    </xf>
    <xf numFmtId="0" fontId="10" fillId="0" borderId="0" applyAlignment="1" pivotButton="0" quotePrefix="0" xfId="2">
      <alignment horizontal="center" vertical="center" wrapText="1"/>
    </xf>
    <xf numFmtId="0" fontId="10" fillId="0" borderId="12" applyAlignment="1" pivotButton="0" quotePrefix="0" xfId="2">
      <alignment horizontal="center" vertical="center" wrapText="1"/>
    </xf>
    <xf numFmtId="0" fontId="10" fillId="0" borderId="1" applyAlignment="1" pivotButton="0" quotePrefix="0" xfId="2">
      <alignment horizontal="center" vertical="center" wrapText="1"/>
    </xf>
    <xf numFmtId="0" fontId="10" fillId="0" borderId="13" applyAlignment="1" pivotButton="0" quotePrefix="0" xfId="2">
      <alignment horizontal="center" vertical="center" wrapText="1"/>
    </xf>
    <xf numFmtId="0" fontId="8" fillId="0" borderId="12" applyAlignment="1" pivotButton="0" quotePrefix="0" xfId="2">
      <alignment horizontal="center" vertical="center"/>
    </xf>
    <xf numFmtId="0" fontId="8" fillId="0" borderId="1" applyAlignment="1" pivotButton="0" quotePrefix="0" xfId="2">
      <alignment horizontal="center" vertical="center"/>
    </xf>
    <xf numFmtId="0" fontId="15" fillId="0" borderId="7" applyAlignment="1" pivotButton="0" quotePrefix="0" xfId="2">
      <alignment horizontal="center" vertical="center" wrapText="1"/>
    </xf>
    <xf numFmtId="0" fontId="12" fillId="0" borderId="7" applyAlignment="1" pivotButton="0" quotePrefix="0" xfId="2">
      <alignment horizontal="center" vertical="center" wrapText="1"/>
    </xf>
    <xf numFmtId="0" fontId="14" fillId="0" borderId="7" applyAlignment="1" pivotButton="0" quotePrefix="0" xfId="2">
      <alignment horizontal="center" vertical="center" wrapText="1"/>
    </xf>
    <xf numFmtId="0" fontId="12" fillId="0" borderId="7" applyAlignment="1" pivotButton="0" quotePrefix="0" xfId="2">
      <alignment horizontal="left" vertical="center" wrapText="1"/>
    </xf>
    <xf numFmtId="0" fontId="9" fillId="0" borderId="10" applyAlignment="1" pivotButton="0" quotePrefix="0" xfId="2">
      <alignment horizontal="center" vertical="center" wrapText="1"/>
    </xf>
    <xf numFmtId="0" fontId="9" fillId="0" borderId="8" applyAlignment="1" pivotButton="0" quotePrefix="0" xfId="2">
      <alignment horizontal="center" vertical="center" wrapText="1"/>
    </xf>
    <xf numFmtId="0" fontId="9" fillId="0" borderId="11" applyAlignment="1" pivotButton="0" quotePrefix="0" xfId="2">
      <alignment horizontal="center" vertical="center" wrapText="1"/>
    </xf>
    <xf numFmtId="0" fontId="8" fillId="0" borderId="13" applyAlignment="1" pivotButton="0" quotePrefix="0" xfId="2">
      <alignment horizontal="center" vertical="center"/>
    </xf>
    <xf numFmtId="0" fontId="1" fillId="0" borderId="1" applyAlignment="1" pivotButton="0" quotePrefix="0" xfId="0">
      <alignment horizontal="center" vertical="center"/>
    </xf>
    <xf numFmtId="0" fontId="1" fillId="3" borderId="1" applyAlignment="1" pivotButton="0" quotePrefix="0" xfId="0">
      <alignment horizontal="center" vertical="center"/>
    </xf>
    <xf numFmtId="1" fontId="1" fillId="0" borderId="1" applyAlignment="1" pivotButton="0" quotePrefix="0" xfId="0">
      <alignment horizontal="center" vertical="center"/>
    </xf>
    <xf numFmtId="0" fontId="0" fillId="0" borderId="0" applyAlignment="1" pivotButton="0" quotePrefix="0" xfId="0">
      <alignment vertical="center"/>
    </xf>
    <xf numFmtId="43" fontId="0" fillId="0" borderId="0" applyAlignment="1" pivotButton="0" quotePrefix="0" xfId="1">
      <alignment vertical="center"/>
    </xf>
    <xf numFmtId="43" fontId="1" fillId="0" borderId="0" applyAlignment="1" pivotButton="0" quotePrefix="0" xfId="1">
      <alignment horizontal="center" vertical="center"/>
    </xf>
    <xf numFmtId="43" fontId="0" fillId="3" borderId="0" applyAlignment="1" pivotButton="0" quotePrefix="0" xfId="1">
      <alignment horizontal="center" vertical="center"/>
    </xf>
    <xf numFmtId="43" fontId="1" fillId="3" borderId="0" applyAlignment="1" pivotButton="0" quotePrefix="0" xfId="1">
      <alignment horizontal="center" vertical="center"/>
    </xf>
    <xf numFmtId="1" fontId="1" fillId="0" borderId="0" applyAlignment="1" pivotButton="0" quotePrefix="0" xfId="1">
      <alignment horizontal="center" vertical="center"/>
    </xf>
    <xf numFmtId="43" fontId="1" fillId="0" borderId="0" applyAlignment="1" pivotButton="0" quotePrefix="0" xfId="1">
      <alignment horizontal="center" vertical="center"/>
    </xf>
    <xf numFmtId="43" fontId="0" fillId="3" borderId="0" applyAlignment="1" pivotButton="0" quotePrefix="0" xfId="1">
      <alignment horizontal="center" vertical="center"/>
    </xf>
    <xf numFmtId="43" fontId="1" fillId="3" borderId="0" applyAlignment="1" pivotButton="0" quotePrefix="0" xfId="1">
      <alignment horizontal="center" vertical="center"/>
    </xf>
    <xf numFmtId="43" fontId="0" fillId="3" borderId="0" applyAlignment="1" pivotButton="0" quotePrefix="0" xfId="1">
      <alignment vertical="center"/>
    </xf>
    <xf numFmtId="1" fontId="0" fillId="0" borderId="0" applyAlignment="1" pivotButton="0" quotePrefix="0" xfId="1">
      <alignment vertical="center"/>
    </xf>
    <xf numFmtId="0" fontId="0" fillId="2" borderId="0" applyAlignment="1" pivotButton="0" quotePrefix="0" xfId="0">
      <alignment vertical="center"/>
    </xf>
    <xf numFmtId="0" fontId="7" fillId="7" borderId="0" applyAlignment="1" pivotButton="0" quotePrefix="0" xfId="0">
      <alignment vertical="center"/>
    </xf>
    <xf numFmtId="0" fontId="6" fillId="6" borderId="0" applyAlignment="1" pivotButton="0" quotePrefix="0" xfId="0">
      <alignment vertical="center"/>
    </xf>
    <xf numFmtId="0" fontId="6" fillId="6" borderId="3" applyAlignment="1" pivotButton="0" quotePrefix="0" xfId="0">
      <alignment vertical="center"/>
    </xf>
    <xf numFmtId="0" fontId="0" fillId="5" borderId="4" applyAlignment="1" pivotButton="0" quotePrefix="0" xfId="0">
      <alignment vertical="center"/>
    </xf>
    <xf numFmtId="2" fontId="0" fillId="5" borderId="5" applyAlignment="1" pivotButton="0" quotePrefix="0" xfId="0">
      <alignment vertical="center"/>
    </xf>
    <xf numFmtId="0" fontId="0" fillId="5" borderId="5" applyAlignment="1" pivotButton="0" quotePrefix="0" xfId="0">
      <alignment vertical="center"/>
    </xf>
    <xf numFmtId="0" fontId="0" fillId="4" borderId="6" applyAlignment="1" pivotButton="0" quotePrefix="0" xfId="0">
      <alignment vertical="center"/>
    </xf>
    <xf numFmtId="0" fontId="0" fillId="4" borderId="2" applyAlignment="1" pivotButton="0" quotePrefix="0" xfId="0">
      <alignment vertical="center"/>
    </xf>
    <xf numFmtId="0" fontId="0" fillId="5" borderId="6" applyAlignment="1" pivotButton="0" quotePrefix="0" xfId="0">
      <alignment vertical="center"/>
    </xf>
    <xf numFmtId="2" fontId="0" fillId="5" borderId="2" applyAlignment="1" pivotButton="0" quotePrefix="0" xfId="0">
      <alignment vertical="center"/>
    </xf>
    <xf numFmtId="0" fontId="0" fillId="5" borderId="2" applyAlignment="1" pivotButton="0" quotePrefix="0" xfId="0">
      <alignment vertical="center"/>
    </xf>
    <xf numFmtId="1" fontId="0" fillId="0" borderId="0" applyAlignment="1" pivotButton="0" quotePrefix="0" xfId="0">
      <alignment vertical="center"/>
    </xf>
    <xf numFmtId="0" fontId="1" fillId="0" borderId="1" applyAlignment="1" pivotButton="0" quotePrefix="0" xfId="0">
      <alignment horizontal="left" vertical="center"/>
    </xf>
    <xf numFmtId="0" fontId="0" fillId="0" borderId="0" applyAlignment="1" pivotButton="0" quotePrefix="0" xfId="0">
      <alignment horizontal="left" vertical="center"/>
    </xf>
    <xf numFmtId="0" fontId="1" fillId="0" borderId="1" applyAlignment="1" pivotButton="0" quotePrefix="0" xfId="0">
      <alignment horizontal="center" vertical="center" wrapText="1"/>
    </xf>
    <xf numFmtId="43" fontId="0" fillId="0" borderId="0" applyAlignment="1" pivotButton="0" quotePrefix="0" xfId="1">
      <alignment vertical="center" wrapText="1"/>
    </xf>
    <xf numFmtId="43" fontId="0" fillId="0" borderId="0" applyAlignment="1" pivotButton="0" quotePrefix="0" xfId="1">
      <alignment vertical="center"/>
    </xf>
    <xf numFmtId="43" fontId="0" fillId="3" borderId="0" applyAlignment="1" pivotButton="0" quotePrefix="0" xfId="1">
      <alignment vertical="center"/>
    </xf>
    <xf numFmtId="0" fontId="17" fillId="0" borderId="7" applyAlignment="1" pivotButton="0" quotePrefix="0" xfId="0">
      <alignment vertical="center"/>
    </xf>
    <xf numFmtId="49" fontId="0" fillId="0" borderId="0" applyAlignment="1" pivotButton="0" quotePrefix="0" xfId="1">
      <alignment vertical="center" wrapText="1"/>
    </xf>
    <xf numFmtId="49" fontId="1" fillId="0" borderId="1" applyAlignment="1" pivotButton="0" quotePrefix="0" xfId="0">
      <alignment horizontal="center" vertical="center"/>
    </xf>
    <xf numFmtId="49" fontId="0" fillId="0" borderId="0" applyAlignment="1" pivotButton="0" quotePrefix="0" xfId="1">
      <alignment vertical="center"/>
    </xf>
    <xf numFmtId="49" fontId="0" fillId="0" borderId="0" applyAlignment="1" pivotButton="0" quotePrefix="0" xfId="1">
      <alignment horizontal="center" vertical="top" wrapText="1"/>
    </xf>
    <xf numFmtId="49" fontId="0" fillId="0" borderId="0" applyAlignment="1" pivotButton="0" quotePrefix="0" xfId="0">
      <alignment vertical="center"/>
    </xf>
    <xf numFmtId="43" fontId="1" fillId="0" borderId="0" applyAlignment="1" pivotButton="0" quotePrefix="0" xfId="1">
      <alignment vertical="center" wrapText="1"/>
    </xf>
    <xf numFmtId="43" fontId="1" fillId="0" borderId="0" applyAlignment="1" pivotButton="0" quotePrefix="0" xfId="0">
      <alignment vertical="center" wrapText="1"/>
    </xf>
    <xf numFmtId="43" fontId="1" fillId="0" borderId="0" applyAlignment="1" pivotButton="0" quotePrefix="0" xfId="1">
      <alignment vertical="center" wrapText="1"/>
    </xf>
    <xf numFmtId="0" fontId="16" fillId="0" borderId="7" applyAlignment="1" pivotButton="0" quotePrefix="0" xfId="0">
      <alignment vertical="center" wrapText="1"/>
    </xf>
    <xf numFmtId="49" fontId="0" fillId="0" borderId="0" applyAlignment="1" pivotButton="0" quotePrefix="0" xfId="1">
      <alignment vertical="center" wrapText="1"/>
    </xf>
    <xf numFmtId="43" fontId="1" fillId="0" borderId="0" applyAlignment="1" pivotButton="0" quotePrefix="0" xfId="1">
      <alignment horizontal="center" vertical="center"/>
    </xf>
    <xf numFmtId="0" fontId="0" fillId="0" borderId="8" pivotButton="0" quotePrefix="0" xfId="0"/>
    <xf numFmtId="0" fontId="0" fillId="0" borderId="11" pivotButton="0" quotePrefix="0" xfId="0"/>
    <xf numFmtId="0" fontId="0" fillId="0" borderId="1" pivotButton="0" quotePrefix="0" xfId="0"/>
    <xf numFmtId="0" fontId="0" fillId="0" borderId="13" pivotButton="0" quotePrefix="0" xfId="0"/>
    <xf numFmtId="0" fontId="18" fillId="0" borderId="0" pivotButton="0" quotePrefix="0" xfId="0"/>
    <xf numFmtId="0" fontId="19" fillId="0" borderId="0" pivotButton="0" quotePrefix="0" xfId="0"/>
    <xf numFmtId="0" fontId="20" fillId="8" borderId="0" applyAlignment="1" pivotButton="0" quotePrefix="0" xfId="0">
      <alignment vertical="top" wrapText="1"/>
    </xf>
    <xf numFmtId="0" fontId="0" fillId="0" borderId="0" applyAlignment="1" pivotButton="0" quotePrefix="0" xfId="0">
      <alignment vertical="top" wrapText="1"/>
    </xf>
    <xf numFmtId="0" fontId="21" fillId="0" borderId="0" pivotButton="0" quotePrefix="0" xfId="0"/>
    <xf numFmtId="10" fontId="0" fillId="0" borderId="0" applyAlignment="1" pivotButton="0" quotePrefix="0" xfId="0">
      <alignment vertical="top" wrapText="1"/>
    </xf>
    <xf numFmtId="0" fontId="22" fillId="0" borderId="0" applyAlignment="1" pivotButton="0" quotePrefix="0" xfId="0">
      <alignment vertical="top" wrapText="1"/>
    </xf>
    <xf numFmtId="0" fontId="21"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pivotButton="0" quotePrefix="0" xfId="0"/>
    <xf numFmtId="166" fontId="0" fillId="0" borderId="0" pivotButton="0" quotePrefix="0" xfId="0"/>
    <xf numFmtId="0" fontId="29" fillId="0" borderId="0" applyAlignment="1" pivotButton="0" quotePrefix="0" xfId="0">
      <alignment vertical="top" wrapText="1"/>
    </xf>
    <xf numFmtId="0" fontId="28" fillId="0" borderId="0" pivotButton="0" quotePrefix="0" xfId="0"/>
    <xf numFmtId="167" fontId="18" fillId="9" borderId="0" pivotButton="0" quotePrefix="0" xfId="0"/>
    <xf numFmtId="3" fontId="18" fillId="9" borderId="0" pivotButton="0" quotePrefix="0" xfId="0"/>
    <xf numFmtId="166" fontId="0" fillId="0" borderId="0" pivotButton="0" quotePrefix="0" xfId="0"/>
    <xf numFmtId="167" fontId="18" fillId="9" borderId="0" pivotButton="0" quotePrefix="0" xfId="0"/>
    <xf numFmtId="4" fontId="0" fillId="0" borderId="0" applyAlignment="1" pivotButton="0" quotePrefix="0" xfId="0">
      <alignment vertical="top" wrapText="1"/>
    </xf>
    <xf numFmtId="0" fontId="30" fillId="0" borderId="0" applyAlignment="1" pivotButton="0" quotePrefix="0" xfId="0">
      <alignment vertical="top" wrapText="1"/>
    </xf>
    <xf numFmtId="0" fontId="18" fillId="9" borderId="0" pivotButton="0" quotePrefix="0" xfId="0"/>
    <xf numFmtId="168" fontId="18" fillId="9" borderId="0" pivotButton="0" quotePrefix="0" xfId="0"/>
    <xf numFmtId="0" fontId="26" fillId="0" borderId="0" pivotButton="0" quotePrefix="0" xfId="0"/>
    <xf numFmtId="0" fontId="25" fillId="0" borderId="0" pivotButton="0" quotePrefix="0" xfId="0"/>
    <xf numFmtId="4" fontId="18" fillId="9" borderId="0" pivotButton="0" quotePrefix="0" xfId="0"/>
    <xf numFmtId="0" fontId="24" fillId="0" borderId="0" pivotButton="0" quotePrefix="0" xfId="0"/>
    <xf numFmtId="3" fontId="0" fillId="0" borderId="0" pivotButton="0" quotePrefix="0" xfId="0"/>
    <xf numFmtId="3" fontId="18" fillId="0" borderId="0" pivotButton="0" quotePrefix="0" xfId="0"/>
    <xf numFmtId="166" fontId="18" fillId="0" borderId="0" pivotButton="0" quotePrefix="0" xfId="0"/>
    <xf numFmtId="0" fontId="20" fillId="8" borderId="0" pivotButton="0" quotePrefix="0" xfId="0"/>
    <xf numFmtId="3" fontId="0" fillId="0" borderId="0" applyAlignment="1" pivotButton="0" quotePrefix="0" xfId="0">
      <alignment vertical="top" wrapText="1"/>
    </xf>
    <xf numFmtId="0" fontId="18" fillId="0" borderId="0" applyAlignment="1" pivotButton="0" quotePrefix="0" xfId="0">
      <alignment vertical="top" wrapText="1"/>
    </xf>
    <xf numFmtId="3" fontId="18" fillId="0" borderId="0" applyAlignment="1" pivotButton="0" quotePrefix="0" xfId="0">
      <alignment vertical="top" wrapText="1"/>
    </xf>
    <xf numFmtId="0" fontId="23" fillId="0" borderId="0" pivotButton="0" quotePrefix="0" xfId="0"/>
  </cellXfs>
  <cellStyles count="3">
    <cellStyle name="Normal" xfId="0" builtinId="0"/>
    <cellStyle name="Comma" xfId="1" builtinId="3"/>
    <cellStyle name="Normal 2" xfId="2"/>
  </cellStyles>
  <dxfs count="38">
    <dxf>
      <font>
        <name val="Calibri"/>
        <family val="2"/>
        <b val="1"/>
        <strike val="0"/>
        <outline val="0"/>
        <shadow val="0"/>
        <condense val="0"/>
        <color theme="1"/>
        <extend val="0"/>
        <sz val="11"/>
        <vertAlign val="baseline"/>
        <scheme val="minor"/>
      </font>
      <alignment horizontal="center" vertical="center"/>
    </dxf>
    <dxf>
      <font>
        <name val="Calibri"/>
        <family val="2"/>
        <b val="1"/>
        <strike val="0"/>
        <outline val="0"/>
        <shadow val="0"/>
        <condense val="0"/>
        <color theme="1"/>
        <extend val="0"/>
        <sz val="11"/>
        <vertAlign val="baseline"/>
        <scheme val="minor"/>
      </font>
      <alignment horizontal="general" vertical="center" wrapText="1"/>
    </dxf>
    <dxf>
      <alignment vertical="center"/>
    </dxf>
    <dxf>
      <font>
        <name val="Calibri"/>
        <family val="2"/>
        <b val="1"/>
        <strike val="0"/>
        <outline val="0"/>
        <shadow val="0"/>
        <condense val="0"/>
        <color theme="1"/>
        <extend val="0"/>
        <sz val="11"/>
        <vertAlign val="baseline"/>
        <scheme val="minor"/>
      </font>
      <numFmt numFmtId="35" formatCode="_(* #,##0.00_);_(* \(#,##0.00\);_(* &quot;-&quot;??_);_(@_)"/>
      <alignment horizontal="general" vertical="center" wrapText="1"/>
    </dxf>
    <dxf>
      <alignment vertical="center"/>
    </dxf>
    <dxf>
      <font>
        <name val="Calibri"/>
        <family val="2"/>
        <strike val="0"/>
        <outline val="0"/>
        <shadow val="0"/>
        <condense val="0"/>
        <color theme="1"/>
        <extend val="0"/>
        <sz val="11"/>
        <vertAlign val="baseline"/>
        <scheme val="minor"/>
      </font>
      <numFmt numFmtId="30" formatCode="@"/>
      <alignment horizontal="general" vertical="center"/>
    </dxf>
    <dxf>
      <font>
        <name val="Calibri"/>
        <family val="2"/>
        <strike val="0"/>
        <outline val="0"/>
        <shadow val="0"/>
        <condense val="0"/>
        <color theme="1"/>
        <extend val="0"/>
        <sz val="11"/>
        <vertAlign val="baseline"/>
        <scheme val="minor"/>
      </font>
      <alignment vertical="center" wrapText="1"/>
    </dxf>
    <dxf>
      <font>
        <name val="Calibri"/>
        <family val="2"/>
        <strike val="0"/>
        <outline val="0"/>
        <shadow val="0"/>
        <condense val="0"/>
        <color theme="1"/>
        <extend val="0"/>
        <sz val="11"/>
        <vertAlign val="baseline"/>
        <scheme val="minor"/>
      </font>
      <alignment horizontal="general" vertical="center"/>
    </dxf>
    <dxf>
      <alignment vertical="center"/>
    </dxf>
    <dxf>
      <font>
        <name val="Calibri"/>
        <family val="2"/>
        <b val="1"/>
        <strike val="0"/>
        <outline val="0"/>
        <shadow val="0"/>
        <condense val="0"/>
        <color theme="1"/>
        <extend val="0"/>
        <sz val="11"/>
        <u val="single"/>
        <vertAlign val="baseline"/>
        <scheme val="minor"/>
      </font>
      <fill>
        <patternFill patternType="solid">
          <fgColor indexed="64"/>
          <bgColor theme="3" tint="0.5999938962981048"/>
        </patternFill>
      </fill>
      <alignment vertical="center"/>
    </dxf>
    <dxf>
      <alignment vertical="center"/>
    </dxf>
    <dxf>
      <alignment vertical="center"/>
    </dxf>
    <dxf>
      <alignment vertical="center"/>
    </dxf>
    <dxf>
      <alignment vertical="center"/>
    </dxf>
    <dxf>
      <alignment vertical="center"/>
    </dxf>
    <dxf>
      <alignment vertical="center"/>
    </dxf>
    <dxf>
      <alignment vertical="center"/>
    </dxf>
    <dxf>
      <font>
        <name val="Calibri"/>
        <family val="2"/>
        <b val="1"/>
        <strike val="0"/>
        <outline val="0"/>
        <shadow val="0"/>
        <condense val="0"/>
        <color theme="1"/>
        <extend val="0"/>
        <sz val="11"/>
        <vertAlign val="baseline"/>
        <scheme val="minor"/>
      </font>
      <alignment horizontal="center" vertical="center"/>
      <border outline="0">
        <left style="thin">
          <color auto="1"/>
        </left>
        <right style="thin">
          <color auto="1"/>
        </right>
        <top/>
        <bottom/>
      </border>
    </dxf>
    <dxf>
      <numFmt numFmtId="35" formatCode="_(* #,##0.00_);_(* \(#,##0.00\);_(* &quot;-&quot;??_);_(@_)"/>
      <alignment vertical="center"/>
    </dxf>
    <dxf>
      <numFmt numFmtId="1" formatCode="0"/>
      <alignment vertical="center"/>
    </dxf>
    <dxf>
      <alignment vertical="center"/>
    </dxf>
    <dxf>
      <numFmt numFmtId="35" formatCode="_(* #,##0.00_);_(* \(#,##0.00\);_(* &quot;-&quot;??_);_(@_)"/>
      <fill>
        <patternFill patternType="solid">
          <fgColor indexed="64"/>
          <bgColor theme="2" tint="-0.249977111117893"/>
        </patternFill>
      </fill>
      <alignment vertical="center"/>
    </dxf>
    <dxf>
      <numFmt numFmtId="35" formatCode="_(* #,##0.00_);_(* \(#,##0.00\);_(* &quot;-&quot;??_);_(@_)"/>
      <alignment vertical="center"/>
    </dxf>
    <dxf>
      <numFmt numFmtId="35" formatCode="_(* #,##0.00_);_(* \(#,##0.00\);_(* &quot;-&quot;??_);_(@_)"/>
      <fill>
        <patternFill patternType="solid">
          <fgColor indexed="64"/>
          <bgColor theme="2" tint="-0.249977111117893"/>
        </patternFill>
      </fill>
      <alignment vertical="center"/>
    </dxf>
    <dxf>
      <numFmt numFmtId="35" formatCode="_(* #,##0.00_);_(* \(#,##0.00\);_(* &quot;-&quot;??_);_(@_)"/>
      <alignment vertical="center"/>
    </dxf>
    <dxf>
      <numFmt numFmtId="35" formatCode="_(* #,##0.00_);_(* \(#,##0.00\);_(* &quot;-&quot;??_);_(@_)"/>
      <fill>
        <patternFill patternType="solid">
          <fgColor indexed="64"/>
          <bgColor theme="2" tint="-0.249977111117893"/>
        </patternFill>
      </fill>
      <alignment vertical="center"/>
    </dxf>
    <dxf>
      <numFmt numFmtId="35" formatCode="_(* #,##0.00_);_(* \(#,##0.00\);_(* &quot;-&quot;??_);_(@_)"/>
      <alignment vertical="center"/>
    </dxf>
    <dxf>
      <font>
        <name val="Calibri"/>
        <family val="2"/>
        <strike val="0"/>
        <outline val="0"/>
        <shadow val="0"/>
        <condense val="0"/>
        <color theme="1"/>
        <extend val="0"/>
        <sz val="11"/>
        <vertAlign val="baseline"/>
        <scheme val="minor"/>
      </font>
      <numFmt numFmtId="35" formatCode="_(* #,##0.00_);_(* \(#,##0.00\);_(* &quot;-&quot;??_);_(@_)"/>
      <fill>
        <patternFill patternType="solid">
          <fgColor indexed="64"/>
          <bgColor theme="2" tint="-0.249977111117893"/>
        </patternFill>
      </fill>
      <alignment vertical="center"/>
    </dxf>
    <dxf>
      <numFmt numFmtId="35" formatCode="_(* #,##0.00_);_(* \(#,##0.00\);_(* &quot;-&quot;??_);_(@_)"/>
      <alignment vertical="center"/>
    </dxf>
    <dxf>
      <alignment vertical="center"/>
    </dxf>
    <dxf>
      <font>
        <name val="Calibri"/>
        <family val="2"/>
        <strike val="0"/>
        <outline val="0"/>
        <shadow val="0"/>
        <condense val="0"/>
        <color theme="1"/>
        <extend val="0"/>
        <sz val="11"/>
        <vertAlign val="baseline"/>
        <scheme val="minor"/>
      </font>
      <alignment vertical="center"/>
    </dxf>
    <dxf>
      <alignment vertical="center"/>
    </dxf>
    <dxf>
      <border outline="0">
        <top style="thin">
          <color auto="1"/>
        </top>
      </border>
    </dxf>
    <dxf>
      <border outline="0">
        <bottom style="thin">
          <color auto="1"/>
        </bottom>
      </border>
    </dxf>
    <dxf>
      <font>
        <b val="1"/>
        <color rgb="00C00000"/>
      </font>
    </dxf>
    <dxf>
      <font>
        <color rgb="001F6F3D"/>
      </font>
    </dxf>
    <dxf>
      <font>
        <b val="1"/>
        <color rgb="001F6F3D"/>
      </font>
    </dxf>
    <dxf>
      <font>
        <b val="1"/>
        <color rgb="00C55A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WYCHIM</author>
  </authors>
  <commentList>
    <comment ref="W8" authorId="0" shapeId="0">
      <text>
        <t xml:space="preserve">WYCHIM:
Rate Must be approved by Management before change.Password 
</t>
      </text>
    </comment>
  </commentList>
</comments>
</file>

<file path=xl/tables/table1.xml><?xml version="1.0" encoding="utf-8"?>
<table xmlns="http://schemas.openxmlformats.org/spreadsheetml/2006/main" id="1" name="Table1" displayName="Table1" ref="A1:V42" headerRowCount="1" totalsRowShown="0" headerRowDxfId="17" dataDxfId="16" headerRowBorderDxfId="33" tableBorderDxfId="32" dataCellStyle="Comma">
  <tableColumns count="22">
    <tableColumn id="1" name="Category" dataDxfId="31" dataCellStyle="Comma"/>
    <tableColumn id="13" name="Pricing Category" dataDxfId="30" dataCellStyle="Comma"/>
    <tableColumn id="18" name="Manufactuere Model  SKU" dataDxfId="6" dataCellStyle="Comma"/>
    <tableColumn id="21" name="Descriptions" dataDxfId="5" dataCellStyle="Comma"/>
    <tableColumn id="22" name="License Certification" dataDxfId="7" dataCellStyle="Comma"/>
    <tableColumn id="2" name="Product" dataDxfId="2" dataCellStyle="Comma"/>
    <tableColumn id="14" name="Model Name" dataDxfId="0" dataCellStyle="Comma"/>
    <tableColumn id="16" name="SKU" dataDxfId="1" dataCellStyle="Comma"/>
    <tableColumn id="20" name="producution Cost" dataDxfId="3" dataCellStyle="Comma"/>
    <tableColumn id="3" name="Landing Cost" dataDxfId="4" dataCellStyle="Comma"/>
    <tableColumn id="4" name="Cost_KES" dataDxfId="29" dataCellStyle="Comma">
      <calculatedColumnFormula>IF(NOT(ISNUMBER(Table1[[#This Row],[Landing Cost]])),"",Table1[[#This Row],[Landing Cost]]*FX_USD_KES)</calculatedColumnFormula>
    </tableColumn>
    <tableColumn id="5" name="Retail_KES" dataDxfId="28" dataCellStyle="Comma">
      <calculatedColumnFormula>IF(NOT(ISNUMBER(Table1[[#This Row],[Cost_KES]])),"",Table1[[#This Row],[Cost_KES]]*MULT_RETAIL_CORE)</calculatedColumnFormula>
    </tableColumn>
    <tableColumn id="15" name="Pychological  Pricing" dataDxfId="27" dataCellStyle="Comma">
      <calculatedColumnFormula>IF(NOT(ISNUMBER(Table1[[#This Row],[Retail_KES]])),"",IF(Table1[[#This Row],[Retail_KES]]&lt;=0,"",IF(Table1[[#This Row],[Retail_KES]]&gt;=10000, ROUNDUP(Table1[[#This Row],[Retail_KES]]/1000,0)*1000-10,
 IF(Table1[[#This Row],[Retail_KES]]&gt;=3000, ROUNDUP(Table1[[#This Row],[Retail_KES]]/100,0)*100-1,
 ROUNDUP(Table1[[#This Row],[Retail_KES]]/10,0)*10-0.01))))</calculatedColumnFormula>
    </tableColumn>
    <tableColumn id="6" name="Retail_USD" dataDxfId="26" dataCellStyle="Comma">
      <calculatedColumnFormula>IFERROR(Table1[[#This Row],[Pychological  Pricing]]/FX_USD_KES,"")</calculatedColumnFormula>
    </tableColumn>
    <tableColumn id="7" name="Wholesale_KES" dataDxfId="25" dataCellStyle="Comma">
      <calculatedColumnFormula>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calculatedColumnFormula>
    </tableColumn>
    <tableColumn id="8" name="Wholesale_USD" dataDxfId="24" dataCellStyle="Comma">
      <calculatedColumnFormula>IFERROR(Table1[[#This Row],[Wholesale_KES]]/FX_USD_KES,"")</calculatedColumnFormula>
    </tableColumn>
    <tableColumn id="9" name="Corporate_KES" dataDxfId="23" dataCellStyle="Comma">
      <calculatedColumnFormula>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calculatedColumnFormula>
    </tableColumn>
    <tableColumn id="10" name="Corporate_USD" dataDxfId="22" dataCellStyle="Comma">
      <calculatedColumnFormula>IFERROR(Table1[[#This Row],[Corporate_KES]]/FX_USD_KES,"")</calculatedColumnFormula>
    </tableColumn>
    <tableColumn id="11" name="Influencer_KES" dataDxfId="21" dataCellStyle="Comma">
      <calculatedColumnFormula>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calculatedColumnFormula>
    </tableColumn>
    <tableColumn id="12" name="Influencer_USD" dataDxfId="20" dataCellStyle="Comma">
      <calculatedColumnFormula>IFERROR(Table1[[#This Row],[Influencer_KES]]/FX_USD_KES,"")</calculatedColumnFormula>
    </tableColumn>
    <tableColumn id="17" name="Quantity" dataDxfId="19" dataCellStyle="Comma"/>
    <tableColumn id="19" name="REVENUE" dataDxfId="18" dataCellStyle="Comma">
      <calculatedColumnFormula>IF(NOT(ISNUMBER(Table1[[#This Row],[Pychological  Pricing]])),"",Table1[[#This Row],[Quantity]]*Table1[[#This Row],[Pychological  Pricing]])</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Discount" displayName="Discount" ref="X10:Z14" headerRowCount="1" totalsRowShown="0" headerRowDxfId="12" dataDxfId="11">
  <autoFilter ref="X10:Z14"/>
  <tableColumns count="3">
    <tableColumn id="1" name="Discount Categories" dataDxfId="15"/>
    <tableColumn id="2" name="Core Product Discounts" dataDxfId="14"/>
    <tableColumn id="3" name="Consumables" dataDxfId="13"/>
  </tableColumns>
  <tableStyleInfo name="TableStyleMedium9" showFirstColumn="0" showLastColumn="0" showRowStripes="1" showColumnStripes="0"/>
</table>
</file>

<file path=xl/tables/table3.xml><?xml version="1.0" encoding="utf-8"?>
<table xmlns="http://schemas.openxmlformats.org/spreadsheetml/2006/main" id="3" name="Pricing_Category" displayName="Pricing_Category" ref="X17:X19" headerRowCount="1" totalsRowShown="0" headerRowDxfId="9" dataDxfId="8">
  <autoFilter ref="X17:X19"/>
  <tableColumns count="1">
    <tableColumn id="1" name="Pricing Category" dataDxfId="1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30" customWidth="1" min="1" max="1"/>
    <col width="13" customWidth="1" min="2" max="2"/>
    <col width="13" customWidth="1" min="3" max="3"/>
    <col width="15" customWidth="1" min="4" max="4"/>
    <col width="17" customWidth="1" min="5" max="5"/>
    <col width="66" customWidth="1" min="6" max="6"/>
  </cols>
  <sheetData>
    <row r="1">
      <c r="A1" s="89" t="inlineStr">
        <is>
          <t>FIXED AND RECURRING COSTS — these were recorded all along</t>
        </is>
      </c>
    </row>
    <row r="2" ht="30" customHeight="1">
      <c r="A2" s="95" t="inlineStr">
        <is>
          <t>I modelled FIXED_MONTHLY as 600 on 23 Sep and said salaries and warehouse rent were in no register. They were in the record from 9 September. That was my failure to search, and it understated the fixed base by a factor of 165.</t>
        </is>
      </c>
    </row>
    <row r="4">
      <c r="A4" s="90" t="inlineStr">
        <is>
          <t>ITEM</t>
        </is>
      </c>
      <c r="B4" s="90" t="inlineStr">
        <is>
          <t>KES TOTAL</t>
        </is>
      </c>
      <c r="C4" s="90" t="inlineStr">
        <is>
          <t>PER MONTH</t>
        </is>
      </c>
      <c r="D4" s="90" t="inlineStr">
        <is>
          <t>PERIOD</t>
        </is>
      </c>
      <c r="E4" s="90" t="inlineStr">
        <is>
          <t>BASIS</t>
        </is>
      </c>
      <c r="F4" s="90" t="inlineStr">
        <is>
          <t>SOURCE / NOTE</t>
        </is>
      </c>
    </row>
    <row r="5" ht="40" customHeight="1">
      <c r="A5" s="91" t="inlineStr">
        <is>
          <t>Salaries</t>
        </is>
      </c>
      <c r="B5" s="120" t="n">
        <v>344800</v>
      </c>
      <c r="C5" s="120" t="n">
        <v>86200</v>
      </c>
      <c r="D5" s="91" t="inlineStr">
        <is>
          <t>Jun-Sep 2026</t>
        </is>
      </c>
      <c r="E5" s="99" t="inlineStr">
        <is>
          <t>EVIDENCED</t>
        </is>
      </c>
      <c r="F5" s="91" t="inlineStr">
        <is>
          <t>F-12, 9 Sep. Owner-funded personally, treated as a loan. No payroll registration, no PAYE record, no contracts — the most urgent compliance item in the estate.</t>
        </is>
      </c>
    </row>
    <row r="6" ht="40" customHeight="1">
      <c r="A6" s="91" t="inlineStr">
        <is>
          <t>Warehouse rent</t>
        </is>
      </c>
      <c r="B6" s="120" t="n">
        <v>84000</v>
      </c>
      <c r="C6" s="120" t="n">
        <v>12000</v>
      </c>
      <c r="D6" s="91" t="inlineStr">
        <is>
          <t>Mar-Sep 2026</t>
        </is>
      </c>
      <c r="E6" s="99" t="inlineStr">
        <is>
          <t>EVIDENCED</t>
        </is>
      </c>
      <c r="F6" s="91" t="inlineStr">
        <is>
          <t>F-11 / Q13c. Paid since Mar 2026, no written lease. First recurring fixed cost ever identified. Rent start and the 12 Mar count are almost certainly the same event — the anchor has a LOC_ID nobody wrote down.</t>
        </is>
      </c>
    </row>
    <row r="7" ht="40" customHeight="1">
      <c r="A7" s="91" t="inlineStr">
        <is>
          <t>Bank maintenance</t>
        </is>
      </c>
      <c r="B7" s="91" t="n"/>
      <c r="C7" s="120" t="n">
        <v>600</v>
      </c>
      <c r="D7" s="91" t="inlineStr">
        <is>
          <t>monthly</t>
        </is>
      </c>
      <c r="E7" s="99" t="inlineStr">
        <is>
          <t>EVIDENCED</t>
        </is>
      </c>
      <c r="F7" s="91" t="inlineStr">
        <is>
          <t>Incl. 20% excise. Transfer charges are separate, at ~0.69% of value moved.</t>
        </is>
      </c>
    </row>
    <row r="8" ht="40" customHeight="1">
      <c r="A8" s="121" t="inlineStr">
        <is>
          <t>FIXED SUBTOTAL</t>
        </is>
      </c>
      <c r="B8" s="121" t="n"/>
      <c r="C8" s="122" t="n">
        <v>98800</v>
      </c>
      <c r="D8" s="121" t="inlineStr">
        <is>
          <t>monthly</t>
        </is>
      </c>
      <c r="E8" s="121" t="inlineStr"/>
      <c r="F8" s="121" t="inlineStr">
        <is>
          <t>salaries + warehouse + bank</t>
        </is>
      </c>
    </row>
    <row r="9" ht="40" customHeight="1">
      <c r="A9" s="91" t="inlineStr">
        <is>
          <t>Activation SPACE</t>
        </is>
      </c>
      <c r="B9" s="120" t="n">
        <v>110000</v>
      </c>
      <c r="C9" s="91" t="n"/>
      <c r="D9" s="91" t="inlineStr">
        <is>
          <t>Mar-Aug 2026</t>
        </is>
      </c>
      <c r="E9" s="97" t="inlineStr">
        <is>
          <t>RULED</t>
        </is>
      </c>
      <c r="F9" s="91" t="inlineStr">
        <is>
          <t>Owner ruling 10 Sep. ~16 of 26 Saturdays used a paid venue; 10 were free or nominal.</t>
        </is>
      </c>
    </row>
    <row r="10" ht="40" customHeight="1">
      <c r="A10" s="91" t="inlineStr">
        <is>
          <t>Activation STAFF</t>
        </is>
      </c>
      <c r="B10" s="120" t="n">
        <v>72000</v>
      </c>
      <c r="C10" s="91" t="n"/>
      <c r="D10" s="91" t="inlineStr">
        <is>
          <t>Mar-Aug 2026</t>
        </is>
      </c>
      <c r="E10" s="99" t="inlineStr">
        <is>
          <t>EVIDENCED</t>
        </is>
      </c>
      <c r="F10" s="91" t="inlineStr">
        <is>
          <t>36 staff-days at 2,000. Reconciles exactly: 10 double-staffed + 16 single-staffed = 26 events.</t>
        </is>
      </c>
    </row>
    <row r="11" ht="40" customHeight="1">
      <c r="A11" s="121" t="inlineStr">
        <is>
          <t>MARKETING SUBTOTAL</t>
        </is>
      </c>
      <c r="B11" s="122" t="n">
        <v>182000</v>
      </c>
      <c r="C11" s="122" t="n">
        <v>30333</v>
      </c>
      <c r="D11" s="121" t="inlineStr">
        <is>
          <t>6 months</t>
        </is>
      </c>
      <c r="E11" s="121" t="inlineStr"/>
      <c r="F11" s="121" t="inlineStr">
        <is>
          <t>Exactly 7,000 per event across 26 events</t>
        </is>
      </c>
    </row>
    <row r="12" ht="40" customHeight="1">
      <c r="A12" s="121" t="inlineStr">
        <is>
          <t>TOTAL RECURRING</t>
        </is>
      </c>
      <c r="B12" s="121" t="n"/>
      <c r="C12" s="122" t="n">
        <v>129133</v>
      </c>
      <c r="D12" s="121" t="inlineStr">
        <is>
          <t>monthly</t>
        </is>
      </c>
      <c r="E12" s="121" t="inlineStr"/>
      <c r="F12" s="121" t="inlineStr">
        <is>
          <t>fixed + marketing</t>
        </is>
      </c>
    </row>
    <row r="13" ht="40" customHeight="1">
      <c r="A13" s="121" t="inlineStr">
        <is>
          <t>Annualised</t>
        </is>
      </c>
      <c r="B13" s="121" t="n"/>
      <c r="C13" s="122" t="n">
        <v>1549600</v>
      </c>
      <c r="D13" s="121" t="inlineStr">
        <is>
          <t>per year</t>
        </is>
      </c>
      <c r="E13" s="121" t="inlineStr"/>
      <c r="F13" s="121" t="inlineStr"/>
    </row>
    <row r="15">
      <c r="A15" s="92" t="inlineStr">
        <is>
          <t>NOT YET IN HERE</t>
        </is>
      </c>
    </row>
    <row r="16">
      <c r="A16" s="91" t="inlineStr">
        <is>
          <t>1. Director's loan ~KES 923,000-1,331,000 — no agreement, no board minute, no ledger account.</t>
        </is>
      </c>
    </row>
    <row r="17">
      <c r="A17" s="91" t="inlineStr">
        <is>
          <t>2. aCatalyst balance 126,976, due ~28 Oct 2026. Against a 10 Sep bank balance of 75,849.45.</t>
        </is>
      </c>
    </row>
    <row r="18">
      <c r="A18" s="91" t="inlineStr">
        <is>
          <t>3. Digital consultancy 100,000 for two months, of which 50,000 has no receipt of any kind.</t>
        </is>
      </c>
    </row>
    <row r="19">
      <c r="A19" s="91" t="inlineStr">
        <is>
          <t>4. PAYE and statutory deductions — four months unfiled. Quantum unknown and not mine to estimate.</t>
        </is>
      </c>
    </row>
    <row r="20">
      <c r="A20" s="91" t="inlineStr">
        <is>
          <t>5. Transport, packaging and insurance — no figure anywhere.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4" topLeftCell="A15" activePane="bottomLeft" state="frozen"/>
      <selection pane="bottomLeft" activeCell="A1" sqref="A1"/>
    </sheetView>
  </sheetViews>
  <sheetFormatPr baseColWidth="8" defaultRowHeight="15"/>
  <cols>
    <col width="24" customWidth="1" min="1" max="1"/>
    <col width="15" customWidth="1" min="2" max="2"/>
    <col width="15" customWidth="1" min="3" max="3"/>
    <col width="15" customWidth="1" min="4" max="4"/>
    <col width="15" customWidth="1" min="5" max="5"/>
    <col width="15" customWidth="1" min="6" max="6"/>
    <col width="60" customWidth="1" min="7" max="7"/>
  </cols>
  <sheetData>
    <row r="1">
      <c r="A1" s="89" t="inlineStr">
        <is>
          <t>BREAK-EVEN — how much must sell before the month pays for itself</t>
        </is>
      </c>
    </row>
    <row r="2">
      <c r="A2" t="inlineStr">
        <is>
          <t>Basket = one of each of the 31 publishable SKUs. Average price KES 6,677. Live against GUARDRAILS.</t>
        </is>
      </c>
    </row>
    <row r="4">
      <c r="A4" s="90" t="inlineStr">
        <is>
          <t>SHRINKAGE</t>
        </is>
      </c>
      <c r="B4" s="90" t="inlineStr">
        <is>
          <t>CONTRIB MARGIN</t>
        </is>
      </c>
      <c r="C4" s="90" t="inlineStr">
        <is>
          <t>CONTRIB / UNIT</t>
        </is>
      </c>
      <c r="D4" s="90" t="inlineStr">
        <is>
          <t>UNITS / MONTH</t>
        </is>
      </c>
      <c r="E4" s="90" t="inlineStr">
        <is>
          <t>REVENUE / MONTH</t>
        </is>
      </c>
      <c r="F4" s="90" t="inlineStr">
        <is>
          <t>REVENUE / YEAR</t>
        </is>
      </c>
      <c r="G4" s="90" t="inlineStr">
        <is>
          <t>VERDICT</t>
        </is>
      </c>
    </row>
    <row r="5">
      <c r="A5" t="inlineStr">
        <is>
          <t>historical 37.3%</t>
        </is>
      </c>
      <c r="B5" s="106">
        <f>(SUM(UNIT_ECONOMICS!$P$7:$P$37)-SUM(UNIT_ECONOMICS!$F$7:$F$37)-SUM(UNIT_ECONOMICS!$F$7:$F$37)*(SHRINK_ACTUAL/(1-SHRINK_ACTUAL))-SUM(UNIT_ECONOMICS!$P$7:$P$37)*FEE_MPESA)/SUM(UNIT_ECONOMICS!$P$7:$P$37)</f>
        <v/>
      </c>
      <c r="C5" s="116">
        <f>(SUM(UNIT_ECONOMICS!$P$7:$P$37)-SUM(UNIT_ECONOMICS!$F$7:$F$37)-SUM(UNIT_ECONOMICS!$F$7:$F$37)*(SHRINK_ACTUAL/(1-SHRINK_ACTUAL))-SUM(UNIT_ECONOMICS!$P$7:$P$37)*FEE_MPESA)/31</f>
        <v/>
      </c>
      <c r="D5" s="116">
        <f>IF($C5&lt;=0,"unreachable",ROUND((FIXED_MONTHLY+MARKETING_MONTHLY)/$C5,0))</f>
        <v/>
      </c>
      <c r="E5" s="116">
        <f>IF($B5&lt;=0,"unreachable",ROUND((FIXED_MONTHLY+MARKETING_MONTHLY)/$B5,0))</f>
        <v/>
      </c>
      <c r="F5" s="116">
        <f>IF(ISNUMBER($E5),$E5*12,"unreachable")</f>
        <v/>
      </c>
      <c r="G5">
        <f>IF(NOT(ISNUMBER($D5)),"impossible at any volume",IF($D5&gt;100,"very hard","reachable"))</f>
        <v/>
      </c>
    </row>
    <row r="6">
      <c r="A6" t="inlineStr">
        <is>
          <t>plan 10%</t>
        </is>
      </c>
      <c r="B6" s="106">
        <f>(SUM(UNIT_ECONOMICS!$P$7:$P$37)-SUM(UNIT_ECONOMICS!$F$7:$F$37)-SUM(UNIT_ECONOMICS!$F$7:$F$37)*(SHRINK_PLAN/(1-SHRINK_PLAN))-SUM(UNIT_ECONOMICS!$P$7:$P$37)*FEE_MPESA)/SUM(UNIT_ECONOMICS!$P$7:$P$37)</f>
        <v/>
      </c>
      <c r="C6" s="116">
        <f>(SUM(UNIT_ECONOMICS!$P$7:$P$37)-SUM(UNIT_ECONOMICS!$F$7:$F$37)-SUM(UNIT_ECONOMICS!$F$7:$F$37)*(SHRINK_PLAN/(1-SHRINK_PLAN))-SUM(UNIT_ECONOMICS!$P$7:$P$37)*FEE_MPESA)/31</f>
        <v/>
      </c>
      <c r="D6" s="116">
        <f>IF($C6&lt;=0,"unreachable",ROUND((FIXED_MONTHLY+MARKETING_MONTHLY)/$C6,0))</f>
        <v/>
      </c>
      <c r="E6" s="116">
        <f>IF($B6&lt;=0,"unreachable",ROUND((FIXED_MONTHLY+MARKETING_MONTHLY)/$B6,0))</f>
        <v/>
      </c>
      <c r="F6" s="116">
        <f>IF(ISNUMBER($E6),$E6*12,"unreachable")</f>
        <v/>
      </c>
      <c r="G6">
        <f>IF(NOT(ISNUMBER($D6)),"impossible at any volume",IF($D6&gt;100,"very hard","reachable"))</f>
        <v/>
      </c>
    </row>
    <row r="7">
      <c r="A7" t="inlineStr">
        <is>
          <t>best case 5%</t>
        </is>
      </c>
      <c r="B7" s="106">
        <f>(SUM(UNIT_ECONOMICS!$P$7:$P$37)-SUM(UNIT_ECONOMICS!$F$7:$F$37)-SUM(UNIT_ECONOMICS!$F$7:$F$37)*(0.05/(1-0.05))-SUM(UNIT_ECONOMICS!$P$7:$P$37)*FEE_MPESA)/SUM(UNIT_ECONOMICS!$P$7:$P$37)</f>
        <v/>
      </c>
      <c r="C7" s="116">
        <f>(SUM(UNIT_ECONOMICS!$P$7:$P$37)-SUM(UNIT_ECONOMICS!$F$7:$F$37)-SUM(UNIT_ECONOMICS!$F$7:$F$37)*(0.05/(1-0.05))-SUM(UNIT_ECONOMICS!$P$7:$P$37)*FEE_MPESA)/31</f>
        <v/>
      </c>
      <c r="D7" s="116">
        <f>IF($C7&lt;=0,"unreachable",ROUND((FIXED_MONTHLY+MARKETING_MONTHLY)/$C7,0))</f>
        <v/>
      </c>
      <c r="E7" s="116">
        <f>IF($B7&lt;=0,"unreachable",ROUND((FIXED_MONTHLY+MARKETING_MONTHLY)/$B7,0))</f>
        <v/>
      </c>
      <c r="F7" s="116">
        <f>IF(ISNUMBER($E7),$E7*12,"unreachable")</f>
        <v/>
      </c>
      <c r="G7">
        <f>IF(NOT(ISNUMBER($D7)),"impossible at any volume",IF($D7&gt;100,"very hard","reachable"))</f>
        <v/>
      </c>
    </row>
    <row r="9">
      <c r="A9" s="88" t="inlineStr">
        <is>
          <t>All-time recorded Kenyan revenue, for scale</t>
        </is>
      </c>
      <c r="E9" s="117" t="n">
        <v>264862</v>
      </c>
    </row>
    <row r="10">
      <c r="A10" s="92" t="inlineStr">
        <is>
          <t>At plan shrinkage the business must sell more every MONTH than it has recorded in its entire life. That is the finding; it is not a pricing finding.</t>
        </is>
      </c>
    </row>
    <row r="12">
      <c r="A12" s="103" t="inlineStr">
        <is>
          <t>ACTIVATION AS MARKETING — the payback test</t>
        </is>
      </c>
    </row>
    <row r="13">
      <c r="A13" s="91" t="inlineStr">
        <is>
          <t>Owner ruling, 23 Sep 2026: activation is marketing, not a sales channel. It is no longer charged per unit. It must instead pay back as a programme.</t>
        </is>
      </c>
    </row>
    <row r="14">
      <c r="A14" s="90" t="inlineStr">
        <is>
          <t>SHRINKAGE</t>
        </is>
      </c>
      <c r="B14" s="90" t="inlineStr">
        <is>
          <t>PROGRAMME COST</t>
        </is>
      </c>
      <c r="C14" s="90" t="inlineStr">
        <is>
          <t>REVENUE NEEDED</t>
        </is>
      </c>
      <c r="D14" s="90" t="inlineStr">
        <is>
          <t>REVENUE ESTIMATED</t>
        </is>
      </c>
      <c r="E14" s="90" t="inlineStr">
        <is>
          <t>CONTRIB GENERATED</t>
        </is>
      </c>
      <c r="F14" s="90" t="inlineStr">
        <is>
          <t>NET</t>
        </is>
      </c>
      <c r="G14" s="90" t="inlineStr">
        <is>
          <t>VERDICT</t>
        </is>
      </c>
    </row>
    <row r="15">
      <c r="A15" t="inlineStr">
        <is>
          <t>historical 37.3%</t>
        </is>
      </c>
      <c r="B15" s="116">
        <f>MARKETING_MONTHLY*6</f>
        <v/>
      </c>
      <c r="C15" s="116">
        <f>ROUND($B15/((SUM(UNIT_ECONOMICS!$P$7:$P$37)-SUM(UNIT_ECONOMICS!$F$7:$F$37)-SUM(UNIT_ECONOMICS!$F$7:$F$37)*(SHRINK_ACTUAL/(1-SHRINK_ACTUAL))-SUM(UNIT_ECONOMICS!$P$7:$P$37)*FEE_MPESA)/SUM(UNIT_ECONOMICS!$P$7:$P$37)),0)</f>
        <v/>
      </c>
      <c r="D15" s="116">
        <f>ACT_REVENUE_EST</f>
        <v/>
      </c>
      <c r="E15" s="116">
        <f>ROUND($D15*((SUM(UNIT_ECONOMICS!$P$7:$P$37)-SUM(UNIT_ECONOMICS!$F$7:$F$37)-SUM(UNIT_ECONOMICS!$F$7:$F$37)*(SHRINK_ACTUAL/(1-SHRINK_ACTUAL))-SUM(UNIT_ECONOMICS!$P$7:$P$37)*FEE_MPESA)/SUM(UNIT_ECONOMICS!$P$7:$P$37)),0)</f>
        <v/>
      </c>
      <c r="F15" s="116">
        <f>$E15-$B15</f>
        <v/>
      </c>
      <c r="G15">
        <f>IF($F15&gt;=0,"PAYS BACK","SHORT "&amp;TEXT(-$F15,"#,##0"))</f>
        <v/>
      </c>
    </row>
    <row r="16">
      <c r="A16" t="inlineStr">
        <is>
          <t>plan 10%</t>
        </is>
      </c>
      <c r="B16" s="116">
        <f>MARKETING_MONTHLY*6</f>
        <v/>
      </c>
      <c r="C16" s="116">
        <f>ROUND($B16/((SUM(UNIT_ECONOMICS!$P$7:$P$37)-SUM(UNIT_ECONOMICS!$F$7:$F$37)-SUM(UNIT_ECONOMICS!$F$7:$F$37)*(SHRINK_PLAN/(1-SHRINK_PLAN))-SUM(UNIT_ECONOMICS!$P$7:$P$37)*FEE_MPESA)/SUM(UNIT_ECONOMICS!$P$7:$P$37)),0)</f>
        <v/>
      </c>
      <c r="D16" s="116">
        <f>ACT_REVENUE_EST</f>
        <v/>
      </c>
      <c r="E16" s="116">
        <f>ROUND($D16*((SUM(UNIT_ECONOMICS!$P$7:$P$37)-SUM(UNIT_ECONOMICS!$F$7:$F$37)-SUM(UNIT_ECONOMICS!$F$7:$F$37)*(SHRINK_PLAN/(1-SHRINK_PLAN))-SUM(UNIT_ECONOMICS!$P$7:$P$37)*FEE_MPESA)/SUM(UNIT_ECONOMICS!$P$7:$P$37)),0)</f>
        <v/>
      </c>
      <c r="F16" s="116">
        <f>$E16-$B16</f>
        <v/>
      </c>
      <c r="G16">
        <f>IF($F16&gt;=0,"PAYS BACK","SHORT "&amp;TEXT(-$F16,"#,##0"))</f>
        <v/>
      </c>
    </row>
    <row r="17">
      <c r="A17" t="inlineStr">
        <is>
          <t>best case 5%</t>
        </is>
      </c>
      <c r="B17" s="116">
        <f>MARKETING_MONTHLY*6</f>
        <v/>
      </c>
      <c r="C17" s="116">
        <f>ROUND($B17/((SUM(UNIT_ECONOMICS!$P$7:$P$37)-SUM(UNIT_ECONOMICS!$F$7:$F$37)-SUM(UNIT_ECONOMICS!$F$7:$F$37)*(0.05/(1-0.05))-SUM(UNIT_ECONOMICS!$P$7:$P$37)*FEE_MPESA)/SUM(UNIT_ECONOMICS!$P$7:$P$37)),0)</f>
        <v/>
      </c>
      <c r="D17" s="116">
        <f>ACT_REVENUE_EST</f>
        <v/>
      </c>
      <c r="E17" s="116">
        <f>ROUND($D17*((SUM(UNIT_ECONOMICS!$P$7:$P$37)-SUM(UNIT_ECONOMICS!$F$7:$F$37)-SUM(UNIT_ECONOMICS!$F$7:$F$37)*(0.05/(1-0.05))-SUM(UNIT_ECONOMICS!$P$7:$P$37)*FEE_MPESA)/SUM(UNIT_ECONOMICS!$P$7:$P$37)),0)</f>
        <v/>
      </c>
      <c r="F17" s="116">
        <f>$E17-$B17</f>
        <v/>
      </c>
      <c r="G17">
        <f>IF($F17&gt;=0,"PAYS BACK","SHORT "&amp;TEXT(-$F17,"#,##0"))</f>
        <v/>
      </c>
    </row>
    <row r="19">
      <c r="A19" s="88" t="inlineStr">
        <is>
          <t>Reclassifying did not hide the problem — it sized it.</t>
        </is>
      </c>
    </row>
    <row r="20" ht="44" customHeight="1">
      <c r="A20" s="91" t="inlineStr">
        <is>
          <t>Charged per unit the programme looked catastrophic (-49% margin), and about a third of that was a double-count of mine. Judged as marketing, at plan shrinkage it is short by about 30,000 over six months — within touching distance. At historical shrinkage it is short by 146,000 and no amount of marketing discipline reaches it. The same variable decides this as decides everything else.</t>
        </is>
      </c>
    </row>
    <row r="22">
      <c r="A22" s="123" t="inlineStr">
        <is>
          <t>On RECORDED activation revenue of 5,700 the programme is short by ~180,000 at any shrinkage rate. The gap between 5,700 and 426,647 is the till statement, and it is still the single highest-value missing document.</t>
        </is>
      </c>
    </row>
  </sheetData>
  <mergeCells count="3">
    <mergeCell ref="A20:G20"/>
    <mergeCell ref="A22:G22"/>
    <mergeCell ref="A10:G10"/>
  </mergeCells>
  <conditionalFormatting sqref="G5:G7">
    <cfRule type="cellIs" priority="1" operator="equal" dxfId="36">
      <formula>"reachable"</formula>
    </cfRule>
    <cfRule type="cellIs" priority="2" operator="equal" dxfId="37">
      <formula>"very hard"</formula>
    </cfRule>
  </conditionalFormatting>
  <conditionalFormatting sqref="F15:F17">
    <cfRule type="cellIs" priority="3" operator="lessThan" dxfId="34">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3"/>
  <sheetViews>
    <sheetView workbookViewId="0">
      <pane ySplit="6" topLeftCell="A7" activePane="bottomLeft" state="frozen"/>
      <selection pane="bottomLeft" activeCell="A1" sqref="A1"/>
    </sheetView>
  </sheetViews>
  <sheetFormatPr baseColWidth="8" defaultRowHeight="15"/>
  <cols>
    <col width="19" customWidth="1" min="1" max="1"/>
    <col width="2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2" customWidth="1" min="10" max="10"/>
    <col width="12" customWidth="1" min="11" max="11"/>
    <col width="13" customWidth="1" min="12" max="12"/>
    <col width="10" customWidth="1" min="13" max="13"/>
    <col width="11" customWidth="1" min="14" max="14"/>
    <col width="13" customWidth="1" min="16" max="16"/>
  </cols>
  <sheetData>
    <row r="1">
      <c r="A1" s="89" t="inlineStr">
        <is>
          <t>UNIT ECONOMICS — what one unit actually leaves behind</t>
        </is>
      </c>
    </row>
    <row r="2">
      <c r="A2" t="inlineStr">
        <is>
          <t>The R4 floor covers landed cost only. Everything right of GROSS is the cost of serving the unit. ACTIVATION IS NO LONGER CHARGED HERE — owner ruling 23 Sep: it is marketing. See BREAK_EVEN.</t>
        </is>
      </c>
    </row>
    <row r="4">
      <c r="A4" s="88" t="inlineStr">
        <is>
          <t>CHANNEL</t>
        </is>
      </c>
      <c r="B4" s="110" t="inlineStr">
        <is>
          <t>RETAIL</t>
        </is>
      </c>
      <c r="C4" s="88" t="inlineStr">
        <is>
          <t>SHRINKAGE</t>
        </is>
      </c>
      <c r="D4" s="110" t="inlineStr">
        <is>
          <t>ACTUAL</t>
        </is>
      </c>
      <c r="E4" s="88" t="inlineStr">
        <is>
          <t>PAYMENT</t>
        </is>
      </c>
      <c r="F4" s="110" t="inlineStr">
        <is>
          <t>MPESA</t>
        </is>
      </c>
      <c r="H4" s="88" t="inlineStr">
        <is>
          <t>ACTIVATION?</t>
        </is>
      </c>
      <c r="I4" s="110" t="inlineStr">
        <is>
          <t>NO</t>
        </is>
      </c>
      <c r="J4" s="123" t="inlineStr">
        <is>
          <t>&lt;- keep NO. Activation is a marketing programme now, tested on BREAK_EVEN.</t>
        </is>
      </c>
    </row>
    <row r="6">
      <c r="A6" s="90" t="inlineStr">
        <is>
          <t>PARENT_SKU</t>
        </is>
      </c>
      <c r="B6" s="90" t="inlineStr">
        <is>
          <t>PRODUCT</t>
        </is>
      </c>
      <c r="C6" s="90" t="inlineStr">
        <is>
          <t>PRICE</t>
        </is>
      </c>
      <c r="D6" s="90" t="inlineStr">
        <is>
          <t>VAT OUT</t>
        </is>
      </c>
      <c r="E6" s="90" t="inlineStr">
        <is>
          <t>NET REV</t>
        </is>
      </c>
      <c r="F6" s="90" t="inlineStr">
        <is>
          <t>LANDED</t>
        </is>
      </c>
      <c r="G6" s="90" t="inlineStr">
        <is>
          <t>GROSS</t>
        </is>
      </c>
      <c r="H6" s="90" t="inlineStr">
        <is>
          <t>SHRINK</t>
        </is>
      </c>
      <c r="I6" s="90" t="inlineStr">
        <is>
          <t>PAY FEE</t>
        </is>
      </c>
      <c r="J6" s="90" t="inlineStr">
        <is>
          <t>AGENT</t>
        </is>
      </c>
      <c r="K6" s="90" t="inlineStr">
        <is>
          <t>EVENT</t>
        </is>
      </c>
      <c r="L6" s="90" t="inlineStr">
        <is>
          <t>CONTRIBUTION</t>
        </is>
      </c>
      <c r="M6" s="90" t="inlineStr">
        <is>
          <t>CONTR %</t>
        </is>
      </c>
      <c r="N6" s="90" t="inlineStr">
        <is>
          <t>VERDICT</t>
        </is>
      </c>
      <c r="P6" s="119" t="inlineStr">
        <is>
          <t>BASE_RETAIL</t>
        </is>
      </c>
    </row>
    <row r="7">
      <c r="A7" t="inlineStr">
        <is>
          <t>UC-HOU-PHRO-001</t>
        </is>
      </c>
      <c r="B7">
        <f>IFERROR(INDEX(GATE!$B:$B,MATCH($A7,GATE!$A:$A,0)),"")</f>
        <v/>
      </c>
      <c r="C7" s="116">
        <f>IFERROR(INDEX(GATE!$G:$G,MATCH($A7,GATE!$A:$A,0))*IF($B$4="RETAIL",1,IF($B$4="WHOLESALE",TIER_WHOLESALE,IF($B$4="CORPORATE",TIER_CORPORATE,TIER_INFLUENCER))),"")</f>
        <v/>
      </c>
      <c r="D7" s="116">
        <f>IF($C7="","",IF(VAT_REGISTERED="YES",ROUND($C7-$C7/(1+VAT_RATE),2),0))</f>
        <v/>
      </c>
      <c r="E7" s="116">
        <f>IF($C7="","",$C7-$D7)</f>
        <v/>
      </c>
      <c r="F7" s="116">
        <f>IFERROR(INDEX(GATE!$D:$D,MATCH($A7,GATE!$A:$A,0)),"")</f>
        <v/>
      </c>
      <c r="G7" s="116">
        <f>IF(OR($E7="",$F7=""),"",$E7-$F7)</f>
        <v/>
      </c>
      <c r="H7" s="116">
        <f>IF($F7="","",ROUND(-$F7*(IF($D$4="ACTUAL",SHRINK_ACTUAL,SHRINK_PLAN)/(1-IF($D$4="ACTUAL",SHRINK_ACTUAL,SHRINK_PLAN))),2))</f>
        <v/>
      </c>
      <c r="I7" s="116">
        <f>IF($C7="","",ROUND(-$C7*IF($F$4="BANK",FEE_BANK,IF($F$4="MPESA",FEE_MPESA,FEE_CASH)),2))</f>
        <v/>
      </c>
      <c r="J7" s="116">
        <f>IF($C7="","",IF($I$4="YES",ROUND(-$C7*AGENT_RATE,2),0))</f>
        <v/>
      </c>
      <c r="K7" s="116">
        <f>IF($C7="","",IF($I$4="YES",ROUND(-EVENT_COST/UNITS_PER_EVENT,2),0))</f>
        <v/>
      </c>
      <c r="L7" s="116">
        <f>IF($G7="","",ROUND($G7+$H7+$I7+$J7+$K7,2))</f>
        <v/>
      </c>
      <c r="M7" s="106">
        <f>IF(OR($L7="",$C7=""),"",$L7/$C7)</f>
        <v/>
      </c>
      <c r="N7">
        <f>IF($L7="","",IF($L7&lt;0,"LOSS",IF($M7&lt;0.15,"THIN","OK")))</f>
        <v/>
      </c>
      <c r="P7">
        <f>IFERROR(INDEX(GATE!$G:$G,MATCH($A7,GATE!$A:$A,0)),"")</f>
        <v/>
      </c>
    </row>
    <row r="8">
      <c r="A8" t="inlineStr">
        <is>
          <t>UC-HOU-URO-001</t>
        </is>
      </c>
      <c r="B8">
        <f>IFERROR(INDEX(GATE!$B:$B,MATCH($A8,GATE!$A:$A,0)),"")</f>
        <v/>
      </c>
      <c r="C8" s="116">
        <f>IFERROR(INDEX(GATE!$G:$G,MATCH($A8,GATE!$A:$A,0))*IF($B$4="RETAIL",1,IF($B$4="WHOLESALE",TIER_WHOLESALE,IF($B$4="CORPORATE",TIER_CORPORATE,TIER_INFLUENCER))),"")</f>
        <v/>
      </c>
      <c r="D8" s="116">
        <f>IF($C8="","",IF(VAT_REGISTERED="YES",ROUND($C8-$C8/(1+VAT_RATE),2),0))</f>
        <v/>
      </c>
      <c r="E8" s="116">
        <f>IF($C8="","",$C8-$D8)</f>
        <v/>
      </c>
      <c r="F8" s="116">
        <f>IFERROR(INDEX(GATE!$D:$D,MATCH($A8,GATE!$A:$A,0)),"")</f>
        <v/>
      </c>
      <c r="G8" s="116">
        <f>IF(OR($E8="",$F8=""),"",$E8-$F8)</f>
        <v/>
      </c>
      <c r="H8" s="116">
        <f>IF($F8="","",ROUND(-$F8*(IF($D$4="ACTUAL",SHRINK_ACTUAL,SHRINK_PLAN)/(1-IF($D$4="ACTUAL",SHRINK_ACTUAL,SHRINK_PLAN))),2))</f>
        <v/>
      </c>
      <c r="I8" s="116">
        <f>IF($C8="","",ROUND(-$C8*IF($F$4="BANK",FEE_BANK,IF($F$4="MPESA",FEE_MPESA,FEE_CASH)),2))</f>
        <v/>
      </c>
      <c r="J8" s="116">
        <f>IF($C8="","",IF($I$4="YES",ROUND(-$C8*AGENT_RATE,2),0))</f>
        <v/>
      </c>
      <c r="K8" s="116">
        <f>IF($C8="","",IF($I$4="YES",ROUND(-EVENT_COST/UNITS_PER_EVENT,2),0))</f>
        <v/>
      </c>
      <c r="L8" s="116">
        <f>IF($G8="","",ROUND($G8+$H8+$I8+$J8+$K8,2))</f>
        <v/>
      </c>
      <c r="M8" s="106">
        <f>IF(OR($L8="",$C8=""),"",$L8/$C8)</f>
        <v/>
      </c>
      <c r="N8">
        <f>IF($L8="","",IF($L8&lt;0,"LOSS",IF($M8&lt;0.15,"THIN","OK")))</f>
        <v/>
      </c>
      <c r="P8">
        <f>IFERROR(INDEX(GATE!$G:$G,MATCH($A8,GATE!$A:$A,0)),"")</f>
        <v/>
      </c>
    </row>
    <row r="9">
      <c r="A9" t="inlineStr">
        <is>
          <t>UC-HOU-URO-002</t>
        </is>
      </c>
      <c r="B9">
        <f>IFERROR(INDEX(GATE!$B:$B,MATCH($A9,GATE!$A:$A,0)),"")</f>
        <v/>
      </c>
      <c r="C9" s="116">
        <f>IFERROR(INDEX(GATE!$G:$G,MATCH($A9,GATE!$A:$A,0))*IF($B$4="RETAIL",1,IF($B$4="WHOLESALE",TIER_WHOLESALE,IF($B$4="CORPORATE",TIER_CORPORATE,TIER_INFLUENCER))),"")</f>
        <v/>
      </c>
      <c r="D9" s="116">
        <f>IF($C9="","",IF(VAT_REGISTERED="YES",ROUND($C9-$C9/(1+VAT_RATE),2),0))</f>
        <v/>
      </c>
      <c r="E9" s="116">
        <f>IF($C9="","",$C9-$D9)</f>
        <v/>
      </c>
      <c r="F9" s="116">
        <f>IFERROR(INDEX(GATE!$D:$D,MATCH($A9,GATE!$A:$A,0)),"")</f>
        <v/>
      </c>
      <c r="G9" s="116">
        <f>IF(OR($E9="",$F9=""),"",$E9-$F9)</f>
        <v/>
      </c>
      <c r="H9" s="116">
        <f>IF($F9="","",ROUND(-$F9*(IF($D$4="ACTUAL",SHRINK_ACTUAL,SHRINK_PLAN)/(1-IF($D$4="ACTUAL",SHRINK_ACTUAL,SHRINK_PLAN))),2))</f>
        <v/>
      </c>
      <c r="I9" s="116">
        <f>IF($C9="","",ROUND(-$C9*IF($F$4="BANK",FEE_BANK,IF($F$4="MPESA",FEE_MPESA,FEE_CASH)),2))</f>
        <v/>
      </c>
      <c r="J9" s="116">
        <f>IF($C9="","",IF($I$4="YES",ROUND(-$C9*AGENT_RATE,2),0))</f>
        <v/>
      </c>
      <c r="K9" s="116">
        <f>IF($C9="","",IF($I$4="YES",ROUND(-EVENT_COST/UNITS_PER_EVENT,2),0))</f>
        <v/>
      </c>
      <c r="L9" s="116">
        <f>IF($G9="","",ROUND($G9+$H9+$I9+$J9+$K9,2))</f>
        <v/>
      </c>
      <c r="M9" s="106">
        <f>IF(OR($L9="",$C9=""),"",$L9/$C9)</f>
        <v/>
      </c>
      <c r="N9">
        <f>IF($L9="","",IF($L9&lt;0,"LOSS",IF($M9&lt;0.15,"THIN","OK")))</f>
        <v/>
      </c>
      <c r="P9">
        <f>IFERROR(INDEX(GATE!$G:$G,MATCH($A9,GATE!$A:$A,0)),"")</f>
        <v/>
      </c>
    </row>
    <row r="10">
      <c r="A10" t="inlineStr">
        <is>
          <t>UC-HOU-ROS-001</t>
        </is>
      </c>
      <c r="B10">
        <f>IFERROR(INDEX(GATE!$B:$B,MATCH($A10,GATE!$A:$A,0)),"")</f>
        <v/>
      </c>
      <c r="C10" s="116">
        <f>IFERROR(INDEX(GATE!$G:$G,MATCH($A10,GATE!$A:$A,0))*IF($B$4="RETAIL",1,IF($B$4="WHOLESALE",TIER_WHOLESALE,IF($B$4="CORPORATE",TIER_CORPORATE,TIER_INFLUENCER))),"")</f>
        <v/>
      </c>
      <c r="D10" s="116">
        <f>IF($C10="","",IF(VAT_REGISTERED="YES",ROUND($C10-$C10/(1+VAT_RATE),2),0))</f>
        <v/>
      </c>
      <c r="E10" s="116">
        <f>IF($C10="","",$C10-$D10)</f>
        <v/>
      </c>
      <c r="F10" s="116">
        <f>IFERROR(INDEX(GATE!$D:$D,MATCH($A10,GATE!$A:$A,0)),"")</f>
        <v/>
      </c>
      <c r="G10" s="116">
        <f>IF(OR($E10="",$F10=""),"",$E10-$F10)</f>
        <v/>
      </c>
      <c r="H10" s="116">
        <f>IF($F10="","",ROUND(-$F10*(IF($D$4="ACTUAL",SHRINK_ACTUAL,SHRINK_PLAN)/(1-IF($D$4="ACTUAL",SHRINK_ACTUAL,SHRINK_PLAN))),2))</f>
        <v/>
      </c>
      <c r="I10" s="116">
        <f>IF($C10="","",ROUND(-$C10*IF($F$4="BANK",FEE_BANK,IF($F$4="MPESA",FEE_MPESA,FEE_CASH)),2))</f>
        <v/>
      </c>
      <c r="J10" s="116">
        <f>IF($C10="","",IF($I$4="YES",ROUND(-$C10*AGENT_RATE,2),0))</f>
        <v/>
      </c>
      <c r="K10" s="116">
        <f>IF($C10="","",IF($I$4="YES",ROUND(-EVENT_COST/UNITS_PER_EVENT,2),0))</f>
        <v/>
      </c>
      <c r="L10" s="116">
        <f>IF($G10="","",ROUND($G10+$H10+$I10+$J10+$K10,2))</f>
        <v/>
      </c>
      <c r="M10" s="106">
        <f>IF(OR($L10="",$C10=""),"",$L10/$C10)</f>
        <v/>
      </c>
      <c r="N10">
        <f>IF($L10="","",IF($L10&lt;0,"LOSS",IF($M10&lt;0.15,"THIN","OK")))</f>
        <v/>
      </c>
      <c r="P10">
        <f>IFERROR(INDEX(GATE!$G:$G,MATCH($A10,GATE!$A:$A,0)),"")</f>
        <v/>
      </c>
    </row>
    <row r="11">
      <c r="A11" t="inlineStr">
        <is>
          <t>UC-COM-ROS-002</t>
        </is>
      </c>
      <c r="B11">
        <f>IFERROR(INDEX(GATE!$B:$B,MATCH($A11,GATE!$A:$A,0)),"")</f>
        <v/>
      </c>
      <c r="C11" s="116">
        <f>IFERROR(INDEX(GATE!$G:$G,MATCH($A11,GATE!$A:$A,0))*IF($B$4="RETAIL",1,IF($B$4="WHOLESALE",TIER_WHOLESALE,IF($B$4="CORPORATE",TIER_CORPORATE,TIER_INFLUENCER))),"")</f>
        <v/>
      </c>
      <c r="D11" s="116">
        <f>IF($C11="","",IF(VAT_REGISTERED="YES",ROUND($C11-$C11/(1+VAT_RATE),2),0))</f>
        <v/>
      </c>
      <c r="E11" s="116">
        <f>IF($C11="","",$C11-$D11)</f>
        <v/>
      </c>
      <c r="F11" s="116">
        <f>IFERROR(INDEX(GATE!$D:$D,MATCH($A11,GATE!$A:$A,0)),"")</f>
        <v/>
      </c>
      <c r="G11" s="116">
        <f>IF(OR($E11="",$F11=""),"",$E11-$F11)</f>
        <v/>
      </c>
      <c r="H11" s="116">
        <f>IF($F11="","",ROUND(-$F11*(IF($D$4="ACTUAL",SHRINK_ACTUAL,SHRINK_PLAN)/(1-IF($D$4="ACTUAL",SHRINK_ACTUAL,SHRINK_PLAN))),2))</f>
        <v/>
      </c>
      <c r="I11" s="116">
        <f>IF($C11="","",ROUND(-$C11*IF($F$4="BANK",FEE_BANK,IF($F$4="MPESA",FEE_MPESA,FEE_CASH)),2))</f>
        <v/>
      </c>
      <c r="J11" s="116">
        <f>IF($C11="","",IF($I$4="YES",ROUND(-$C11*AGENT_RATE,2),0))</f>
        <v/>
      </c>
      <c r="K11" s="116">
        <f>IF($C11="","",IF($I$4="YES",ROUND(-EVENT_COST/UNITS_PER_EVENT,2),0))</f>
        <v/>
      </c>
      <c r="L11" s="116">
        <f>IF($G11="","",ROUND($G11+$H11+$I11+$J11+$K11,2))</f>
        <v/>
      </c>
      <c r="M11" s="106">
        <f>IF(OR($L11="",$C11=""),"",$L11/$C11)</f>
        <v/>
      </c>
      <c r="N11">
        <f>IF($L11="","",IF($L11&lt;0,"LOSS",IF($M11&lt;0.15,"THIN","OK")))</f>
        <v/>
      </c>
      <c r="P11">
        <f>IFERROR(INDEX(GATE!$G:$G,MATCH($A11,GATE!$A:$A,0)),"")</f>
        <v/>
      </c>
    </row>
    <row r="12">
      <c r="A12" t="inlineStr">
        <is>
          <t>UC-HOU-WPF-003</t>
        </is>
      </c>
      <c r="B12">
        <f>IFERROR(INDEX(GATE!$B:$B,MATCH($A12,GATE!$A:$A,0)),"")</f>
        <v/>
      </c>
      <c r="C12" s="116">
        <f>IFERROR(INDEX(GATE!$G:$G,MATCH($A12,GATE!$A:$A,0))*IF($B$4="RETAIL",1,IF($B$4="WHOLESALE",TIER_WHOLESALE,IF($B$4="CORPORATE",TIER_CORPORATE,TIER_INFLUENCER))),"")</f>
        <v/>
      </c>
      <c r="D12" s="116">
        <f>IF($C12="","",IF(VAT_REGISTERED="YES",ROUND($C12-$C12/(1+VAT_RATE),2),0))</f>
        <v/>
      </c>
      <c r="E12" s="116">
        <f>IF($C12="","",$C12-$D12)</f>
        <v/>
      </c>
      <c r="F12" s="116">
        <f>IFERROR(INDEX(GATE!$D:$D,MATCH($A12,GATE!$A:$A,0)),"")</f>
        <v/>
      </c>
      <c r="G12" s="116">
        <f>IF(OR($E12="",$F12=""),"",$E12-$F12)</f>
        <v/>
      </c>
      <c r="H12" s="116">
        <f>IF($F12="","",ROUND(-$F12*(IF($D$4="ACTUAL",SHRINK_ACTUAL,SHRINK_PLAN)/(1-IF($D$4="ACTUAL",SHRINK_ACTUAL,SHRINK_PLAN))),2))</f>
        <v/>
      </c>
      <c r="I12" s="116">
        <f>IF($C12="","",ROUND(-$C12*IF($F$4="BANK",FEE_BANK,IF($F$4="MPESA",FEE_MPESA,FEE_CASH)),2))</f>
        <v/>
      </c>
      <c r="J12" s="116">
        <f>IF($C12="","",IF($I$4="YES",ROUND(-$C12*AGENT_RATE,2),0))</f>
        <v/>
      </c>
      <c r="K12" s="116">
        <f>IF($C12="","",IF($I$4="YES",ROUND(-EVENT_COST/UNITS_PER_EVENT,2),0))</f>
        <v/>
      </c>
      <c r="L12" s="116">
        <f>IF($G12="","",ROUND($G12+$H12+$I12+$J12+$K12,2))</f>
        <v/>
      </c>
      <c r="M12" s="106">
        <f>IF(OR($L12="",$C12=""),"",$L12/$C12)</f>
        <v/>
      </c>
      <c r="N12">
        <f>IF($L12="","",IF($L12&lt;0,"LOSS",IF($M12&lt;0.15,"THIN","OK")))</f>
        <v/>
      </c>
      <c r="P12">
        <f>IFERROR(INDEX(GATE!$G:$G,MATCH($A12,GATE!$A:$A,0)),"")</f>
        <v/>
      </c>
    </row>
    <row r="13">
      <c r="A13" t="inlineStr">
        <is>
          <t>UC-HOU-USF-004</t>
        </is>
      </c>
      <c r="B13">
        <f>IFERROR(INDEX(GATE!$B:$B,MATCH($A13,GATE!$A:$A,0)),"")</f>
        <v/>
      </c>
      <c r="C13" s="116">
        <f>IFERROR(INDEX(GATE!$G:$G,MATCH($A13,GATE!$A:$A,0))*IF($B$4="RETAIL",1,IF($B$4="WHOLESALE",TIER_WHOLESALE,IF($B$4="CORPORATE",TIER_CORPORATE,TIER_INFLUENCER))),"")</f>
        <v/>
      </c>
      <c r="D13" s="116">
        <f>IF($C13="","",IF(VAT_REGISTERED="YES",ROUND($C13-$C13/(1+VAT_RATE),2),0))</f>
        <v/>
      </c>
      <c r="E13" s="116">
        <f>IF($C13="","",$C13-$D13)</f>
        <v/>
      </c>
      <c r="F13" s="116">
        <f>IFERROR(INDEX(GATE!$D:$D,MATCH($A13,GATE!$A:$A,0)),"")</f>
        <v/>
      </c>
      <c r="G13" s="116">
        <f>IF(OR($E13="",$F13=""),"",$E13-$F13)</f>
        <v/>
      </c>
      <c r="H13" s="116">
        <f>IF($F13="","",ROUND(-$F13*(IF($D$4="ACTUAL",SHRINK_ACTUAL,SHRINK_PLAN)/(1-IF($D$4="ACTUAL",SHRINK_ACTUAL,SHRINK_PLAN))),2))</f>
        <v/>
      </c>
      <c r="I13" s="116">
        <f>IF($C13="","",ROUND(-$C13*IF($F$4="BANK",FEE_BANK,IF($F$4="MPESA",FEE_MPESA,FEE_CASH)),2))</f>
        <v/>
      </c>
      <c r="J13" s="116">
        <f>IF($C13="","",IF($I$4="YES",ROUND(-$C13*AGENT_RATE,2),0))</f>
        <v/>
      </c>
      <c r="K13" s="116">
        <f>IF($C13="","",IF($I$4="YES",ROUND(-EVENT_COST/UNITS_PER_EVENT,2),0))</f>
        <v/>
      </c>
      <c r="L13" s="116">
        <f>IF($G13="","",ROUND($G13+$H13+$I13+$J13+$K13,2))</f>
        <v/>
      </c>
      <c r="M13" s="106">
        <f>IF(OR($L13="",$C13=""),"",$L13/$C13)</f>
        <v/>
      </c>
      <c r="N13">
        <f>IF($L13="","",IF($L13&lt;0,"LOSS",IF($M13&lt;0.15,"THIN","OK")))</f>
        <v/>
      </c>
      <c r="P13">
        <f>IFERROR(INDEX(GATE!$G:$G,MATCH($A13,GATE!$A:$A,0)),"")</f>
        <v/>
      </c>
    </row>
    <row r="14">
      <c r="A14" t="inlineStr">
        <is>
          <t>UC-HOU-TAP-005</t>
        </is>
      </c>
      <c r="B14">
        <f>IFERROR(INDEX(GATE!$B:$B,MATCH($A14,GATE!$A:$A,0)),"")</f>
        <v/>
      </c>
      <c r="C14" s="116">
        <f>IFERROR(INDEX(GATE!$G:$G,MATCH($A14,GATE!$A:$A,0))*IF($B$4="RETAIL",1,IF($B$4="WHOLESALE",TIER_WHOLESALE,IF($B$4="CORPORATE",TIER_CORPORATE,TIER_INFLUENCER))),"")</f>
        <v/>
      </c>
      <c r="D14" s="116">
        <f>IF($C14="","",IF(VAT_REGISTERED="YES",ROUND($C14-$C14/(1+VAT_RATE),2),0))</f>
        <v/>
      </c>
      <c r="E14" s="116">
        <f>IF($C14="","",$C14-$D14)</f>
        <v/>
      </c>
      <c r="F14" s="116">
        <f>IFERROR(INDEX(GATE!$D:$D,MATCH($A14,GATE!$A:$A,0)),"")</f>
        <v/>
      </c>
      <c r="G14" s="116">
        <f>IF(OR($E14="",$F14=""),"",$E14-$F14)</f>
        <v/>
      </c>
      <c r="H14" s="116">
        <f>IF($F14="","",ROUND(-$F14*(IF($D$4="ACTUAL",SHRINK_ACTUAL,SHRINK_PLAN)/(1-IF($D$4="ACTUAL",SHRINK_ACTUAL,SHRINK_PLAN))),2))</f>
        <v/>
      </c>
      <c r="I14" s="116">
        <f>IF($C14="","",ROUND(-$C14*IF($F$4="BANK",FEE_BANK,IF($F$4="MPESA",FEE_MPESA,FEE_CASH)),2))</f>
        <v/>
      </c>
      <c r="J14" s="116">
        <f>IF($C14="","",IF($I$4="YES",ROUND(-$C14*AGENT_RATE,2),0))</f>
        <v/>
      </c>
      <c r="K14" s="116">
        <f>IF($C14="","",IF($I$4="YES",ROUND(-EVENT_COST/UNITS_PER_EVENT,2),0))</f>
        <v/>
      </c>
      <c r="L14" s="116">
        <f>IF($G14="","",ROUND($G14+$H14+$I14+$J14+$K14,2))</f>
        <v/>
      </c>
      <c r="M14" s="106">
        <f>IF(OR($L14="",$C14=""),"",$L14/$C14)</f>
        <v/>
      </c>
      <c r="N14">
        <f>IF($L14="","",IF($L14&lt;0,"LOSS",IF($M14&lt;0.15,"THIN","OK")))</f>
        <v/>
      </c>
      <c r="P14">
        <f>IFERROR(INDEX(GATE!$G:$G,MATCH($A14,GATE!$A:$A,0)),"")</f>
        <v/>
      </c>
    </row>
    <row r="15">
      <c r="A15" t="inlineStr">
        <is>
          <t>UC-HOU-TAPF-006</t>
        </is>
      </c>
      <c r="B15">
        <f>IFERROR(INDEX(GATE!$B:$B,MATCH($A15,GATE!$A:$A,0)),"")</f>
        <v/>
      </c>
      <c r="C15" s="116">
        <f>IFERROR(INDEX(GATE!$G:$G,MATCH($A15,GATE!$A:$A,0))*IF($B$4="RETAIL",1,IF($B$4="WHOLESALE",TIER_WHOLESALE,IF($B$4="CORPORATE",TIER_CORPORATE,TIER_INFLUENCER))),"")</f>
        <v/>
      </c>
      <c r="D15" s="116">
        <f>IF($C15="","",IF(VAT_REGISTERED="YES",ROUND($C15-$C15/(1+VAT_RATE),2),0))</f>
        <v/>
      </c>
      <c r="E15" s="116">
        <f>IF($C15="","",$C15-$D15)</f>
        <v/>
      </c>
      <c r="F15" s="116">
        <f>IFERROR(INDEX(GATE!$D:$D,MATCH($A15,GATE!$A:$A,0)),"")</f>
        <v/>
      </c>
      <c r="G15" s="116">
        <f>IF(OR($E15="",$F15=""),"",$E15-$F15)</f>
        <v/>
      </c>
      <c r="H15" s="116">
        <f>IF($F15="","",ROUND(-$F15*(IF($D$4="ACTUAL",SHRINK_ACTUAL,SHRINK_PLAN)/(1-IF($D$4="ACTUAL",SHRINK_ACTUAL,SHRINK_PLAN))),2))</f>
        <v/>
      </c>
      <c r="I15" s="116">
        <f>IF($C15="","",ROUND(-$C15*IF($F$4="BANK",FEE_BANK,IF($F$4="MPESA",FEE_MPESA,FEE_CASH)),2))</f>
        <v/>
      </c>
      <c r="J15" s="116">
        <f>IF($C15="","",IF($I$4="YES",ROUND(-$C15*AGENT_RATE,2),0))</f>
        <v/>
      </c>
      <c r="K15" s="116">
        <f>IF($C15="","",IF($I$4="YES",ROUND(-EVENT_COST/UNITS_PER_EVENT,2),0))</f>
        <v/>
      </c>
      <c r="L15" s="116">
        <f>IF($G15="","",ROUND($G15+$H15+$I15+$J15+$K15,2))</f>
        <v/>
      </c>
      <c r="M15" s="106">
        <f>IF(OR($L15="",$C15=""),"",$L15/$C15)</f>
        <v/>
      </c>
      <c r="N15">
        <f>IF($L15="","",IF($L15&lt;0,"LOSS",IF($M15&lt;0.15,"THIN","OK")))</f>
        <v/>
      </c>
      <c r="P15">
        <f>IFERROR(INDEX(GATE!$G:$G,MATCH($A15,GATE!$A:$A,0)),"")</f>
        <v/>
      </c>
    </row>
    <row r="16">
      <c r="A16" t="inlineStr">
        <is>
          <t>UC-HOU-WDFS-006</t>
        </is>
      </c>
      <c r="B16">
        <f>IFERROR(INDEX(GATE!$B:$B,MATCH($A16,GATE!$A:$A,0)),"")</f>
        <v/>
      </c>
      <c r="C16" s="116">
        <f>IFERROR(INDEX(GATE!$G:$G,MATCH($A16,GATE!$A:$A,0))*IF($B$4="RETAIL",1,IF($B$4="WHOLESALE",TIER_WHOLESALE,IF($B$4="CORPORATE",TIER_CORPORATE,TIER_INFLUENCER))),"")</f>
        <v/>
      </c>
      <c r="D16" s="116">
        <f>IF($C16="","",IF(VAT_REGISTERED="YES",ROUND($C16-$C16/(1+VAT_RATE),2),0))</f>
        <v/>
      </c>
      <c r="E16" s="116">
        <f>IF($C16="","",$C16-$D16)</f>
        <v/>
      </c>
      <c r="F16" s="116">
        <f>IFERROR(INDEX(GATE!$D:$D,MATCH($A16,GATE!$A:$A,0)),"")</f>
        <v/>
      </c>
      <c r="G16" s="116">
        <f>IF(OR($E16="",$F16=""),"",$E16-$F16)</f>
        <v/>
      </c>
      <c r="H16" s="116">
        <f>IF($F16="","",ROUND(-$F16*(IF($D$4="ACTUAL",SHRINK_ACTUAL,SHRINK_PLAN)/(1-IF($D$4="ACTUAL",SHRINK_ACTUAL,SHRINK_PLAN))),2))</f>
        <v/>
      </c>
      <c r="I16" s="116">
        <f>IF($C16="","",ROUND(-$C16*IF($F$4="BANK",FEE_BANK,IF($F$4="MPESA",FEE_MPESA,FEE_CASH)),2))</f>
        <v/>
      </c>
      <c r="J16" s="116">
        <f>IF($C16="","",IF($I$4="YES",ROUND(-$C16*AGENT_RATE,2),0))</f>
        <v/>
      </c>
      <c r="K16" s="116">
        <f>IF($C16="","",IF($I$4="YES",ROUND(-EVENT_COST/UNITS_PER_EVENT,2),0))</f>
        <v/>
      </c>
      <c r="L16" s="116">
        <f>IF($G16="","",ROUND($G16+$H16+$I16+$J16+$K16,2))</f>
        <v/>
      </c>
      <c r="M16" s="106">
        <f>IF(OR($L16="",$C16=""),"",$L16/$C16)</f>
        <v/>
      </c>
      <c r="N16">
        <f>IF($L16="","",IF($L16&lt;0,"LOSS",IF($M16&lt;0.15,"THIN","OK")))</f>
        <v/>
      </c>
      <c r="P16">
        <f>IFERROR(INDEX(GATE!$G:$G,MATCH($A16,GATE!$A:$A,0)),"")</f>
        <v/>
      </c>
    </row>
    <row r="17">
      <c r="A17" t="inlineStr">
        <is>
          <t>UC-HOU-DF-007</t>
        </is>
      </c>
      <c r="B17">
        <f>IFERROR(INDEX(GATE!$B:$B,MATCH($A17,GATE!$A:$A,0)),"")</f>
        <v/>
      </c>
      <c r="C17" s="116">
        <f>IFERROR(INDEX(GATE!$G:$G,MATCH($A17,GATE!$A:$A,0))*IF($B$4="RETAIL",1,IF($B$4="WHOLESALE",TIER_WHOLESALE,IF($B$4="CORPORATE",TIER_CORPORATE,TIER_INFLUENCER))),"")</f>
        <v/>
      </c>
      <c r="D17" s="116">
        <f>IF($C17="","",IF(VAT_REGISTERED="YES",ROUND($C17-$C17/(1+VAT_RATE),2),0))</f>
        <v/>
      </c>
      <c r="E17" s="116">
        <f>IF($C17="","",$C17-$D17)</f>
        <v/>
      </c>
      <c r="F17" s="116">
        <f>IFERROR(INDEX(GATE!$D:$D,MATCH($A17,GATE!$A:$A,0)),"")</f>
        <v/>
      </c>
      <c r="G17" s="116">
        <f>IF(OR($E17="",$F17=""),"",$E17-$F17)</f>
        <v/>
      </c>
      <c r="H17" s="116">
        <f>IF($F17="","",ROUND(-$F17*(IF($D$4="ACTUAL",SHRINK_ACTUAL,SHRINK_PLAN)/(1-IF($D$4="ACTUAL",SHRINK_ACTUAL,SHRINK_PLAN))),2))</f>
        <v/>
      </c>
      <c r="I17" s="116">
        <f>IF($C17="","",ROUND(-$C17*IF($F$4="BANK",FEE_BANK,IF($F$4="MPESA",FEE_MPESA,FEE_CASH)),2))</f>
        <v/>
      </c>
      <c r="J17" s="116">
        <f>IF($C17="","",IF($I$4="YES",ROUND(-$C17*AGENT_RATE,2),0))</f>
        <v/>
      </c>
      <c r="K17" s="116">
        <f>IF($C17="","",IF($I$4="YES",ROUND(-EVENT_COST/UNITS_PER_EVENT,2),0))</f>
        <v/>
      </c>
      <c r="L17" s="116">
        <f>IF($G17="","",ROUND($G17+$H17+$I17+$J17+$K17,2))</f>
        <v/>
      </c>
      <c r="M17" s="106">
        <f>IF(OR($L17="",$C17=""),"",$L17/$C17)</f>
        <v/>
      </c>
      <c r="N17">
        <f>IF($L17="","",IF($L17&lt;0,"LOSS",IF($M17&lt;0.15,"THIN","OK")))</f>
        <v/>
      </c>
      <c r="P17">
        <f>IFERROR(INDEX(GATE!$G:$G,MATCH($A17,GATE!$A:$A,0)),"")</f>
        <v/>
      </c>
    </row>
    <row r="18">
      <c r="A18" t="inlineStr">
        <is>
          <t>UC-BOG-SSB-008</t>
        </is>
      </c>
      <c r="B18">
        <f>IFERROR(INDEX(GATE!$B:$B,MATCH($A18,GATE!$A:$A,0)),"")</f>
        <v/>
      </c>
      <c r="C18" s="116">
        <f>IFERROR(INDEX(GATE!$G:$G,MATCH($A18,GATE!$A:$A,0))*IF($B$4="RETAIL",1,IF($B$4="WHOLESALE",TIER_WHOLESALE,IF($B$4="CORPORATE",TIER_CORPORATE,TIER_INFLUENCER))),"")</f>
        <v/>
      </c>
      <c r="D18" s="116">
        <f>IF($C18="","",IF(VAT_REGISTERED="YES",ROUND($C18-$C18/(1+VAT_RATE),2),0))</f>
        <v/>
      </c>
      <c r="E18" s="116">
        <f>IF($C18="","",$C18-$D18)</f>
        <v/>
      </c>
      <c r="F18" s="116">
        <f>IFERROR(INDEX(GATE!$D:$D,MATCH($A18,GATE!$A:$A,0)),"")</f>
        <v/>
      </c>
      <c r="G18" s="116">
        <f>IF(OR($E18="",$F18=""),"",$E18-$F18)</f>
        <v/>
      </c>
      <c r="H18" s="116">
        <f>IF($F18="","",ROUND(-$F18*(IF($D$4="ACTUAL",SHRINK_ACTUAL,SHRINK_PLAN)/(1-IF($D$4="ACTUAL",SHRINK_ACTUAL,SHRINK_PLAN))),2))</f>
        <v/>
      </c>
      <c r="I18" s="116">
        <f>IF($C18="","",ROUND(-$C18*IF($F$4="BANK",FEE_BANK,IF($F$4="MPESA",FEE_MPESA,FEE_CASH)),2))</f>
        <v/>
      </c>
      <c r="J18" s="116">
        <f>IF($C18="","",IF($I$4="YES",ROUND(-$C18*AGENT_RATE,2),0))</f>
        <v/>
      </c>
      <c r="K18" s="116">
        <f>IF($C18="","",IF($I$4="YES",ROUND(-EVENT_COST/UNITS_PER_EVENT,2),0))</f>
        <v/>
      </c>
      <c r="L18" s="116">
        <f>IF($G18="","",ROUND($G18+$H18+$I18+$J18+$K18,2))</f>
        <v/>
      </c>
      <c r="M18" s="106">
        <f>IF(OR($L18="",$C18=""),"",$L18/$C18)</f>
        <v/>
      </c>
      <c r="N18">
        <f>IF($L18="","",IF($L18&lt;0,"LOSS",IF($M18&lt;0.15,"THIN","OK")))</f>
        <v/>
      </c>
      <c r="P18">
        <f>IFERROR(INDEX(GATE!$G:$G,MATCH($A18,GATE!$A:$A,0)),"")</f>
        <v/>
      </c>
    </row>
    <row r="19">
      <c r="A19" t="inlineStr">
        <is>
          <t>UC-BOG-TRB-009</t>
        </is>
      </c>
      <c r="B19">
        <f>IFERROR(INDEX(GATE!$B:$B,MATCH($A19,GATE!$A:$A,0)),"")</f>
        <v/>
      </c>
      <c r="C19" s="116">
        <f>IFERROR(INDEX(GATE!$G:$G,MATCH($A19,GATE!$A:$A,0))*IF($B$4="RETAIL",1,IF($B$4="WHOLESALE",TIER_WHOLESALE,IF($B$4="CORPORATE",TIER_CORPORATE,TIER_INFLUENCER))),"")</f>
        <v/>
      </c>
      <c r="D19" s="116">
        <f>IF($C19="","",IF(VAT_REGISTERED="YES",ROUND($C19-$C19/(1+VAT_RATE),2),0))</f>
        <v/>
      </c>
      <c r="E19" s="116">
        <f>IF($C19="","",$C19-$D19)</f>
        <v/>
      </c>
      <c r="F19" s="116">
        <f>IFERROR(INDEX(GATE!$D:$D,MATCH($A19,GATE!$A:$A,0)),"")</f>
        <v/>
      </c>
      <c r="G19" s="116">
        <f>IF(OR($E19="",$F19=""),"",$E19-$F19)</f>
        <v/>
      </c>
      <c r="H19" s="116">
        <f>IF($F19="","",ROUND(-$F19*(IF($D$4="ACTUAL",SHRINK_ACTUAL,SHRINK_PLAN)/(1-IF($D$4="ACTUAL",SHRINK_ACTUAL,SHRINK_PLAN))),2))</f>
        <v/>
      </c>
      <c r="I19" s="116">
        <f>IF($C19="","",ROUND(-$C19*IF($F$4="BANK",FEE_BANK,IF($F$4="MPESA",FEE_MPESA,FEE_CASH)),2))</f>
        <v/>
      </c>
      <c r="J19" s="116">
        <f>IF($C19="","",IF($I$4="YES",ROUND(-$C19*AGENT_RATE,2),0))</f>
        <v/>
      </c>
      <c r="K19" s="116">
        <f>IF($C19="","",IF($I$4="YES",ROUND(-EVENT_COST/UNITS_PER_EVENT,2),0))</f>
        <v/>
      </c>
      <c r="L19" s="116">
        <f>IF($G19="","",ROUND($G19+$H19+$I19+$J19+$K19,2))</f>
        <v/>
      </c>
      <c r="M19" s="106">
        <f>IF(OR($L19="",$C19=""),"",$L19/$C19)</f>
        <v/>
      </c>
      <c r="N19">
        <f>IF($L19="","",IF($L19&lt;0,"LOSS",IF($M19&lt;0.15,"THIN","OK")))</f>
        <v/>
      </c>
      <c r="P19">
        <f>IFERROR(INDEX(GATE!$G:$G,MATCH($A19,GATE!$A:$A,0)),"")</f>
        <v/>
      </c>
    </row>
    <row r="20">
      <c r="A20" t="inlineStr">
        <is>
          <t>UC-BOG-TRB-010</t>
        </is>
      </c>
      <c r="B20">
        <f>IFERROR(INDEX(GATE!$B:$B,MATCH($A20,GATE!$A:$A,0)),"")</f>
        <v/>
      </c>
      <c r="C20" s="116">
        <f>IFERROR(INDEX(GATE!$G:$G,MATCH($A20,GATE!$A:$A,0))*IF($B$4="RETAIL",1,IF($B$4="WHOLESALE",TIER_WHOLESALE,IF($B$4="CORPORATE",TIER_CORPORATE,TIER_INFLUENCER))),"")</f>
        <v/>
      </c>
      <c r="D20" s="116">
        <f>IF($C20="","",IF(VAT_REGISTERED="YES",ROUND($C20-$C20/(1+VAT_RATE),2),0))</f>
        <v/>
      </c>
      <c r="E20" s="116">
        <f>IF($C20="","",$C20-$D20)</f>
        <v/>
      </c>
      <c r="F20" s="116">
        <f>IFERROR(INDEX(GATE!$D:$D,MATCH($A20,GATE!$A:$A,0)),"")</f>
        <v/>
      </c>
      <c r="G20" s="116">
        <f>IF(OR($E20="",$F20=""),"",$E20-$F20)</f>
        <v/>
      </c>
      <c r="H20" s="116">
        <f>IF($F20="","",ROUND(-$F20*(IF($D$4="ACTUAL",SHRINK_ACTUAL,SHRINK_PLAN)/(1-IF($D$4="ACTUAL",SHRINK_ACTUAL,SHRINK_PLAN))),2))</f>
        <v/>
      </c>
      <c r="I20" s="116">
        <f>IF($C20="","",ROUND(-$C20*IF($F$4="BANK",FEE_BANK,IF($F$4="MPESA",FEE_MPESA,FEE_CASH)),2))</f>
        <v/>
      </c>
      <c r="J20" s="116">
        <f>IF($C20="","",IF($I$4="YES",ROUND(-$C20*AGENT_RATE,2),0))</f>
        <v/>
      </c>
      <c r="K20" s="116">
        <f>IF($C20="","",IF($I$4="YES",ROUND(-EVENT_COST/UNITS_PER_EVENT,2),0))</f>
        <v/>
      </c>
      <c r="L20" s="116">
        <f>IF($G20="","",ROUND($G20+$H20+$I20+$J20+$K20,2))</f>
        <v/>
      </c>
      <c r="M20" s="106">
        <f>IF(OR($L20="",$C20=""),"",$L20/$C20)</f>
        <v/>
      </c>
      <c r="N20">
        <f>IF($L20="","",IF($L20&lt;0,"LOSS",IF($M20&lt;0.15,"THIN","OK")))</f>
        <v/>
      </c>
      <c r="P20">
        <f>IFERROR(INDEX(GATE!$G:$G,MATCH($A20,GATE!$A:$A,0)),"")</f>
        <v/>
      </c>
    </row>
    <row r="21">
      <c r="A21" t="inlineStr">
        <is>
          <t>UC-BOG-TRB-011</t>
        </is>
      </c>
      <c r="B21">
        <f>IFERROR(INDEX(GATE!$B:$B,MATCH($A21,GATE!$A:$A,0)),"")</f>
        <v/>
      </c>
      <c r="C21" s="116">
        <f>IFERROR(INDEX(GATE!$G:$G,MATCH($A21,GATE!$A:$A,0))*IF($B$4="RETAIL",1,IF($B$4="WHOLESALE",TIER_WHOLESALE,IF($B$4="CORPORATE",TIER_CORPORATE,TIER_INFLUENCER))),"")</f>
        <v/>
      </c>
      <c r="D21" s="116">
        <f>IF($C21="","",IF(VAT_REGISTERED="YES",ROUND($C21-$C21/(1+VAT_RATE),2),0))</f>
        <v/>
      </c>
      <c r="E21" s="116">
        <f>IF($C21="","",$C21-$D21)</f>
        <v/>
      </c>
      <c r="F21" s="116">
        <f>IFERROR(INDEX(GATE!$D:$D,MATCH($A21,GATE!$A:$A,0)),"")</f>
        <v/>
      </c>
      <c r="G21" s="116">
        <f>IF(OR($E21="",$F21=""),"",$E21-$F21)</f>
        <v/>
      </c>
      <c r="H21" s="116">
        <f>IF($F21="","",ROUND(-$F21*(IF($D$4="ACTUAL",SHRINK_ACTUAL,SHRINK_PLAN)/(1-IF($D$4="ACTUAL",SHRINK_ACTUAL,SHRINK_PLAN))),2))</f>
        <v/>
      </c>
      <c r="I21" s="116">
        <f>IF($C21="","",ROUND(-$C21*IF($F$4="BANK",FEE_BANK,IF($F$4="MPESA",FEE_MPESA,FEE_CASH)),2))</f>
        <v/>
      </c>
      <c r="J21" s="116">
        <f>IF($C21="","",IF($I$4="YES",ROUND(-$C21*AGENT_RATE,2),0))</f>
        <v/>
      </c>
      <c r="K21" s="116">
        <f>IF($C21="","",IF($I$4="YES",ROUND(-EVENT_COST/UNITS_PER_EVENT,2),0))</f>
        <v/>
      </c>
      <c r="L21" s="116">
        <f>IF($G21="","",ROUND($G21+$H21+$I21+$J21+$K21,2))</f>
        <v/>
      </c>
      <c r="M21" s="106">
        <f>IF(OR($L21="",$C21=""),"",$L21/$C21)</f>
        <v/>
      </c>
      <c r="N21">
        <f>IF($L21="","",IF($L21&lt;0,"LOSS",IF($M21&lt;0.15,"THIN","OK")))</f>
        <v/>
      </c>
      <c r="P21">
        <f>IFERROR(INDEX(GATE!$G:$G,MATCH($A21,GATE!$A:$A,0)),"")</f>
        <v/>
      </c>
    </row>
    <row r="22">
      <c r="A22" t="inlineStr">
        <is>
          <t>UC-BOG-FCA-015</t>
        </is>
      </c>
      <c r="B22">
        <f>IFERROR(INDEX(GATE!$B:$B,MATCH($A22,GATE!$A:$A,0)),"")</f>
        <v/>
      </c>
      <c r="C22" s="116">
        <f>IFERROR(INDEX(GATE!$G:$G,MATCH($A22,GATE!$A:$A,0))*IF($B$4="RETAIL",1,IF($B$4="WHOLESALE",TIER_WHOLESALE,IF($B$4="CORPORATE",TIER_CORPORATE,TIER_INFLUENCER))),"")</f>
        <v/>
      </c>
      <c r="D22" s="116">
        <f>IF($C22="","",IF(VAT_REGISTERED="YES",ROUND($C22-$C22/(1+VAT_RATE),2),0))</f>
        <v/>
      </c>
      <c r="E22" s="116">
        <f>IF($C22="","",$C22-$D22)</f>
        <v/>
      </c>
      <c r="F22" s="116">
        <f>IFERROR(INDEX(GATE!$D:$D,MATCH($A22,GATE!$A:$A,0)),"")</f>
        <v/>
      </c>
      <c r="G22" s="116">
        <f>IF(OR($E22="",$F22=""),"",$E22-$F22)</f>
        <v/>
      </c>
      <c r="H22" s="116">
        <f>IF($F22="","",ROUND(-$F22*(IF($D$4="ACTUAL",SHRINK_ACTUAL,SHRINK_PLAN)/(1-IF($D$4="ACTUAL",SHRINK_ACTUAL,SHRINK_PLAN))),2))</f>
        <v/>
      </c>
      <c r="I22" s="116">
        <f>IF($C22="","",ROUND(-$C22*IF($F$4="BANK",FEE_BANK,IF($F$4="MPESA",FEE_MPESA,FEE_CASH)),2))</f>
        <v/>
      </c>
      <c r="J22" s="116">
        <f>IF($C22="","",IF($I$4="YES",ROUND(-$C22*AGENT_RATE,2),0))</f>
        <v/>
      </c>
      <c r="K22" s="116">
        <f>IF($C22="","",IF($I$4="YES",ROUND(-EVENT_COST/UNITS_PER_EVENT,2),0))</f>
        <v/>
      </c>
      <c r="L22" s="116">
        <f>IF($G22="","",ROUND($G22+$H22+$I22+$J22+$K22,2))</f>
        <v/>
      </c>
      <c r="M22" s="106">
        <f>IF(OR($L22="",$C22=""),"",$L22/$C22)</f>
        <v/>
      </c>
      <c r="N22">
        <f>IF($L22="","",IF($L22&lt;0,"LOSS",IF($M22&lt;0.15,"THIN","OK")))</f>
        <v/>
      </c>
      <c r="P22">
        <f>IFERROR(INDEX(GATE!$G:$G,MATCH($A22,GATE!$A:$A,0)),"")</f>
        <v/>
      </c>
    </row>
    <row r="23">
      <c r="A23" t="inlineStr">
        <is>
          <t>UC-BOG-FST-016</t>
        </is>
      </c>
      <c r="B23">
        <f>IFERROR(INDEX(GATE!$B:$B,MATCH($A23,GATE!$A:$A,0)),"")</f>
        <v/>
      </c>
      <c r="C23" s="116">
        <f>IFERROR(INDEX(GATE!$G:$G,MATCH($A23,GATE!$A:$A,0))*IF($B$4="RETAIL",1,IF($B$4="WHOLESALE",TIER_WHOLESALE,IF($B$4="CORPORATE",TIER_CORPORATE,TIER_INFLUENCER))),"")</f>
        <v/>
      </c>
      <c r="D23" s="116">
        <f>IF($C23="","",IF(VAT_REGISTERED="YES",ROUND($C23-$C23/(1+VAT_RATE),2),0))</f>
        <v/>
      </c>
      <c r="E23" s="116">
        <f>IF($C23="","",$C23-$D23)</f>
        <v/>
      </c>
      <c r="F23" s="116">
        <f>IFERROR(INDEX(GATE!$D:$D,MATCH($A23,GATE!$A:$A,0)),"")</f>
        <v/>
      </c>
      <c r="G23" s="116">
        <f>IF(OR($E23="",$F23=""),"",$E23-$F23)</f>
        <v/>
      </c>
      <c r="H23" s="116">
        <f>IF($F23="","",ROUND(-$F23*(IF($D$4="ACTUAL",SHRINK_ACTUAL,SHRINK_PLAN)/(1-IF($D$4="ACTUAL",SHRINK_ACTUAL,SHRINK_PLAN))),2))</f>
        <v/>
      </c>
      <c r="I23" s="116">
        <f>IF($C23="","",ROUND(-$C23*IF($F$4="BANK",FEE_BANK,IF($F$4="MPESA",FEE_MPESA,FEE_CASH)),2))</f>
        <v/>
      </c>
      <c r="J23" s="116">
        <f>IF($C23="","",IF($I$4="YES",ROUND(-$C23*AGENT_RATE,2),0))</f>
        <v/>
      </c>
      <c r="K23" s="116">
        <f>IF($C23="","",IF($I$4="YES",ROUND(-EVENT_COST/UNITS_PER_EVENT,2),0))</f>
        <v/>
      </c>
      <c r="L23" s="116">
        <f>IF($G23="","",ROUND($G23+$H23+$I23+$J23+$K23,2))</f>
        <v/>
      </c>
      <c r="M23" s="106">
        <f>IF(OR($L23="",$C23=""),"",$L23/$C23)</f>
        <v/>
      </c>
      <c r="N23">
        <f>IF($L23="","",IF($L23&lt;0,"LOSS",IF($M23&lt;0.15,"THIN","OK")))</f>
        <v/>
      </c>
      <c r="P23">
        <f>IFERROR(INDEX(GATE!$G:$G,MATCH($A23,GATE!$A:$A,0)),"")</f>
        <v/>
      </c>
    </row>
    <row r="24">
      <c r="A24" t="inlineStr">
        <is>
          <t>UC-BOG-SHL-018</t>
        </is>
      </c>
      <c r="B24">
        <f>IFERROR(INDEX(GATE!$B:$B,MATCH($A24,GATE!$A:$A,0)),"")</f>
        <v/>
      </c>
      <c r="C24" s="116">
        <f>IFERROR(INDEX(GATE!$G:$G,MATCH($A24,GATE!$A:$A,0))*IF($B$4="RETAIL",1,IF($B$4="WHOLESALE",TIER_WHOLESALE,IF($B$4="CORPORATE",TIER_CORPORATE,TIER_INFLUENCER))),"")</f>
        <v/>
      </c>
      <c r="D24" s="116">
        <f>IF($C24="","",IF(VAT_REGISTERED="YES",ROUND($C24-$C24/(1+VAT_RATE),2),0))</f>
        <v/>
      </c>
      <c r="E24" s="116">
        <f>IF($C24="","",$C24-$D24)</f>
        <v/>
      </c>
      <c r="F24" s="116">
        <f>IFERROR(INDEX(GATE!$D:$D,MATCH($A24,GATE!$A:$A,0)),"")</f>
        <v/>
      </c>
      <c r="G24" s="116">
        <f>IF(OR($E24="",$F24=""),"",$E24-$F24)</f>
        <v/>
      </c>
      <c r="H24" s="116">
        <f>IF($F24="","",ROUND(-$F24*(IF($D$4="ACTUAL",SHRINK_ACTUAL,SHRINK_PLAN)/(1-IF($D$4="ACTUAL",SHRINK_ACTUAL,SHRINK_PLAN))),2))</f>
        <v/>
      </c>
      <c r="I24" s="116">
        <f>IF($C24="","",ROUND(-$C24*IF($F$4="BANK",FEE_BANK,IF($F$4="MPESA",FEE_MPESA,FEE_CASH)),2))</f>
        <v/>
      </c>
      <c r="J24" s="116">
        <f>IF($C24="","",IF($I$4="YES",ROUND(-$C24*AGENT_RATE,2),0))</f>
        <v/>
      </c>
      <c r="K24" s="116">
        <f>IF($C24="","",IF($I$4="YES",ROUND(-EVENT_COST/UNITS_PER_EVENT,2),0))</f>
        <v/>
      </c>
      <c r="L24" s="116">
        <f>IF($G24="","",ROUND($G24+$H24+$I24+$J24+$K24,2))</f>
        <v/>
      </c>
      <c r="M24" s="106">
        <f>IF(OR($L24="",$C24=""),"",$L24/$C24)</f>
        <v/>
      </c>
      <c r="N24">
        <f>IF($L24="","",IF($L24&lt;0,"LOSS",IF($M24&lt;0.15,"THIN","OK")))</f>
        <v/>
      </c>
      <c r="P24">
        <f>IFERROR(INDEX(GATE!$G:$G,MATCH($A24,GATE!$A:$A,0)),"")</f>
        <v/>
      </c>
    </row>
    <row r="25">
      <c r="A25" t="inlineStr">
        <is>
          <t>UC-SKW-SHF-019</t>
        </is>
      </c>
      <c r="B25">
        <f>IFERROR(INDEX(GATE!$B:$B,MATCH($A25,GATE!$A:$A,0)),"")</f>
        <v/>
      </c>
      <c r="C25" s="116">
        <f>IFERROR(INDEX(GATE!$G:$G,MATCH($A25,GATE!$A:$A,0))*IF($B$4="RETAIL",1,IF($B$4="WHOLESALE",TIER_WHOLESALE,IF($B$4="CORPORATE",TIER_CORPORATE,TIER_INFLUENCER))),"")</f>
        <v/>
      </c>
      <c r="D25" s="116">
        <f>IF($C25="","",IF(VAT_REGISTERED="YES",ROUND($C25-$C25/(1+VAT_RATE),2),0))</f>
        <v/>
      </c>
      <c r="E25" s="116">
        <f>IF($C25="","",$C25-$D25)</f>
        <v/>
      </c>
      <c r="F25" s="116">
        <f>IFERROR(INDEX(GATE!$D:$D,MATCH($A25,GATE!$A:$A,0)),"")</f>
        <v/>
      </c>
      <c r="G25" s="116">
        <f>IF(OR($E25="",$F25=""),"",$E25-$F25)</f>
        <v/>
      </c>
      <c r="H25" s="116">
        <f>IF($F25="","",ROUND(-$F25*(IF($D$4="ACTUAL",SHRINK_ACTUAL,SHRINK_PLAN)/(1-IF($D$4="ACTUAL",SHRINK_ACTUAL,SHRINK_PLAN))),2))</f>
        <v/>
      </c>
      <c r="I25" s="116">
        <f>IF($C25="","",ROUND(-$C25*IF($F$4="BANK",FEE_BANK,IF($F$4="MPESA",FEE_MPESA,FEE_CASH)),2))</f>
        <v/>
      </c>
      <c r="J25" s="116">
        <f>IF($C25="","",IF($I$4="YES",ROUND(-$C25*AGENT_RATE,2),0))</f>
        <v/>
      </c>
      <c r="K25" s="116">
        <f>IF($C25="","",IF($I$4="YES",ROUND(-EVENT_COST/UNITS_PER_EVENT,2),0))</f>
        <v/>
      </c>
      <c r="L25" s="116">
        <f>IF($G25="","",ROUND($G25+$H25+$I25+$J25+$K25,2))</f>
        <v/>
      </c>
      <c r="M25" s="106">
        <f>IF(OR($L25="",$C25=""),"",$L25/$C25)</f>
        <v/>
      </c>
      <c r="N25">
        <f>IF($L25="","",IF($L25&lt;0,"LOSS",IF($M25&lt;0.15,"THIN","OK")))</f>
        <v/>
      </c>
      <c r="P25">
        <f>IFERROR(INDEX(GATE!$G:$G,MATCH($A25,GATE!$A:$A,0)),"")</f>
        <v/>
      </c>
    </row>
    <row r="26">
      <c r="A26" t="inlineStr">
        <is>
          <t>UC-SKW-SHF-020</t>
        </is>
      </c>
      <c r="B26">
        <f>IFERROR(INDEX(GATE!$B:$B,MATCH($A26,GATE!$A:$A,0)),"")</f>
        <v/>
      </c>
      <c r="C26" s="116">
        <f>IFERROR(INDEX(GATE!$G:$G,MATCH($A26,GATE!$A:$A,0))*IF($B$4="RETAIL",1,IF($B$4="WHOLESALE",TIER_WHOLESALE,IF($B$4="CORPORATE",TIER_CORPORATE,TIER_INFLUENCER))),"")</f>
        <v/>
      </c>
      <c r="D26" s="116">
        <f>IF($C26="","",IF(VAT_REGISTERED="YES",ROUND($C26-$C26/(1+VAT_RATE),2),0))</f>
        <v/>
      </c>
      <c r="E26" s="116">
        <f>IF($C26="","",$C26-$D26)</f>
        <v/>
      </c>
      <c r="F26" s="116">
        <f>IFERROR(INDEX(GATE!$D:$D,MATCH($A26,GATE!$A:$A,0)),"")</f>
        <v/>
      </c>
      <c r="G26" s="116">
        <f>IF(OR($E26="",$F26=""),"",$E26-$F26)</f>
        <v/>
      </c>
      <c r="H26" s="116">
        <f>IF($F26="","",ROUND(-$F26*(IF($D$4="ACTUAL",SHRINK_ACTUAL,SHRINK_PLAN)/(1-IF($D$4="ACTUAL",SHRINK_ACTUAL,SHRINK_PLAN))),2))</f>
        <v/>
      </c>
      <c r="I26" s="116">
        <f>IF($C26="","",ROUND(-$C26*IF($F$4="BANK",FEE_BANK,IF($F$4="MPESA",FEE_MPESA,FEE_CASH)),2))</f>
        <v/>
      </c>
      <c r="J26" s="116">
        <f>IF($C26="","",IF($I$4="YES",ROUND(-$C26*AGENT_RATE,2),0))</f>
        <v/>
      </c>
      <c r="K26" s="116">
        <f>IF($C26="","",IF($I$4="YES",ROUND(-EVENT_COST/UNITS_PER_EVENT,2),0))</f>
        <v/>
      </c>
      <c r="L26" s="116">
        <f>IF($G26="","",ROUND($G26+$H26+$I26+$J26+$K26,2))</f>
        <v/>
      </c>
      <c r="M26" s="106">
        <f>IF(OR($L26="",$C26=""),"",$L26/$C26)</f>
        <v/>
      </c>
      <c r="N26">
        <f>IF($L26="","",IF($L26&lt;0,"LOSS",IF($M26&lt;0.15,"THIN","OK")))</f>
        <v/>
      </c>
      <c r="P26">
        <f>IFERROR(INDEX(GATE!$G:$G,MATCH($A26,GATE!$A:$A,0)),"")</f>
        <v/>
      </c>
    </row>
    <row r="27">
      <c r="A27" t="inlineStr">
        <is>
          <t>UC-SKW-SHF-021</t>
        </is>
      </c>
      <c r="B27">
        <f>IFERROR(INDEX(GATE!$B:$B,MATCH($A27,GATE!$A:$A,0)),"")</f>
        <v/>
      </c>
      <c r="C27" s="116">
        <f>IFERROR(INDEX(GATE!$G:$G,MATCH($A27,GATE!$A:$A,0))*IF($B$4="RETAIL",1,IF($B$4="WHOLESALE",TIER_WHOLESALE,IF($B$4="CORPORATE",TIER_CORPORATE,TIER_INFLUENCER))),"")</f>
        <v/>
      </c>
      <c r="D27" s="116">
        <f>IF($C27="","",IF(VAT_REGISTERED="YES",ROUND($C27-$C27/(1+VAT_RATE),2),0))</f>
        <v/>
      </c>
      <c r="E27" s="116">
        <f>IF($C27="","",$C27-$D27)</f>
        <v/>
      </c>
      <c r="F27" s="116">
        <f>IFERROR(INDEX(GATE!$D:$D,MATCH($A27,GATE!$A:$A,0)),"")</f>
        <v/>
      </c>
      <c r="G27" s="116">
        <f>IF(OR($E27="",$F27=""),"",$E27-$F27)</f>
        <v/>
      </c>
      <c r="H27" s="116">
        <f>IF($F27="","",ROUND(-$F27*(IF($D$4="ACTUAL",SHRINK_ACTUAL,SHRINK_PLAN)/(1-IF($D$4="ACTUAL",SHRINK_ACTUAL,SHRINK_PLAN))),2))</f>
        <v/>
      </c>
      <c r="I27" s="116">
        <f>IF($C27="","",ROUND(-$C27*IF($F$4="BANK",FEE_BANK,IF($F$4="MPESA",FEE_MPESA,FEE_CASH)),2))</f>
        <v/>
      </c>
      <c r="J27" s="116">
        <f>IF($C27="","",IF($I$4="YES",ROUND(-$C27*AGENT_RATE,2),0))</f>
        <v/>
      </c>
      <c r="K27" s="116">
        <f>IF($C27="","",IF($I$4="YES",ROUND(-EVENT_COST/UNITS_PER_EVENT,2),0))</f>
        <v/>
      </c>
      <c r="L27" s="116">
        <f>IF($G27="","",ROUND($G27+$H27+$I27+$J27+$K27,2))</f>
        <v/>
      </c>
      <c r="M27" s="106">
        <f>IF(OR($L27="",$C27=""),"",$L27/$C27)</f>
        <v/>
      </c>
      <c r="N27">
        <f>IF($L27="","",IF($L27&lt;0,"LOSS",IF($M27&lt;0.15,"THIN","OK")))</f>
        <v/>
      </c>
      <c r="P27">
        <f>IFERROR(INDEX(GATE!$G:$G,MATCH($A27,GATE!$A:$A,0)),"")</f>
        <v/>
      </c>
    </row>
    <row r="28">
      <c r="A28" t="inlineStr">
        <is>
          <t>UC-SKW-SHF-022</t>
        </is>
      </c>
      <c r="B28">
        <f>IFERROR(INDEX(GATE!$B:$B,MATCH($A28,GATE!$A:$A,0)),"")</f>
        <v/>
      </c>
      <c r="C28" s="116">
        <f>IFERROR(INDEX(GATE!$G:$G,MATCH($A28,GATE!$A:$A,0))*IF($B$4="RETAIL",1,IF($B$4="WHOLESALE",TIER_WHOLESALE,IF($B$4="CORPORATE",TIER_CORPORATE,TIER_INFLUENCER))),"")</f>
        <v/>
      </c>
      <c r="D28" s="116">
        <f>IF($C28="","",IF(VAT_REGISTERED="YES",ROUND($C28-$C28/(1+VAT_RATE),2),0))</f>
        <v/>
      </c>
      <c r="E28" s="116">
        <f>IF($C28="","",$C28-$D28)</f>
        <v/>
      </c>
      <c r="F28" s="116">
        <f>IFERROR(INDEX(GATE!$D:$D,MATCH($A28,GATE!$A:$A,0)),"")</f>
        <v/>
      </c>
      <c r="G28" s="116">
        <f>IF(OR($E28="",$F28=""),"",$E28-$F28)</f>
        <v/>
      </c>
      <c r="H28" s="116">
        <f>IF($F28="","",ROUND(-$F28*(IF($D$4="ACTUAL",SHRINK_ACTUAL,SHRINK_PLAN)/(1-IF($D$4="ACTUAL",SHRINK_ACTUAL,SHRINK_PLAN))),2))</f>
        <v/>
      </c>
      <c r="I28" s="116">
        <f>IF($C28="","",ROUND(-$C28*IF($F$4="BANK",FEE_BANK,IF($F$4="MPESA",FEE_MPESA,FEE_CASH)),2))</f>
        <v/>
      </c>
      <c r="J28" s="116">
        <f>IF($C28="","",IF($I$4="YES",ROUND(-$C28*AGENT_RATE,2),0))</f>
        <v/>
      </c>
      <c r="K28" s="116">
        <f>IF($C28="","",IF($I$4="YES",ROUND(-EVENT_COST/UNITS_PER_EVENT,2),0))</f>
        <v/>
      </c>
      <c r="L28" s="116">
        <f>IF($G28="","",ROUND($G28+$H28+$I28+$J28+$K28,2))</f>
        <v/>
      </c>
      <c r="M28" s="106">
        <f>IF(OR($L28="",$C28=""),"",$L28/$C28)</f>
        <v/>
      </c>
      <c r="N28">
        <f>IF($L28="","",IF($L28&lt;0,"LOSS",IF($M28&lt;0.15,"THIN","OK")))</f>
        <v/>
      </c>
      <c r="P28">
        <f>IFERROR(INDEX(GATE!$G:$G,MATCH($A28,GATE!$A:$A,0)),"")</f>
        <v/>
      </c>
    </row>
    <row r="29">
      <c r="A29" t="inlineStr">
        <is>
          <t>UC-SKW-SHC-023</t>
        </is>
      </c>
      <c r="B29">
        <f>IFERROR(INDEX(GATE!$B:$B,MATCH($A29,GATE!$A:$A,0)),"")</f>
        <v/>
      </c>
      <c r="C29" s="116">
        <f>IFERROR(INDEX(GATE!$G:$G,MATCH($A29,GATE!$A:$A,0))*IF($B$4="RETAIL",1,IF($B$4="WHOLESALE",TIER_WHOLESALE,IF($B$4="CORPORATE",TIER_CORPORATE,TIER_INFLUENCER))),"")</f>
        <v/>
      </c>
      <c r="D29" s="116">
        <f>IF($C29="","",IF(VAT_REGISTERED="YES",ROUND($C29-$C29/(1+VAT_RATE),2),0))</f>
        <v/>
      </c>
      <c r="E29" s="116">
        <f>IF($C29="","",$C29-$D29)</f>
        <v/>
      </c>
      <c r="F29" s="116">
        <f>IFERROR(INDEX(GATE!$D:$D,MATCH($A29,GATE!$A:$A,0)),"")</f>
        <v/>
      </c>
      <c r="G29" s="116">
        <f>IF(OR($E29="",$F29=""),"",$E29-$F29)</f>
        <v/>
      </c>
      <c r="H29" s="116">
        <f>IF($F29="","",ROUND(-$F29*(IF($D$4="ACTUAL",SHRINK_ACTUAL,SHRINK_PLAN)/(1-IF($D$4="ACTUAL",SHRINK_ACTUAL,SHRINK_PLAN))),2))</f>
        <v/>
      </c>
      <c r="I29" s="116">
        <f>IF($C29="","",ROUND(-$C29*IF($F$4="BANK",FEE_BANK,IF($F$4="MPESA",FEE_MPESA,FEE_CASH)),2))</f>
        <v/>
      </c>
      <c r="J29" s="116">
        <f>IF($C29="","",IF($I$4="YES",ROUND(-$C29*AGENT_RATE,2),0))</f>
        <v/>
      </c>
      <c r="K29" s="116">
        <f>IF($C29="","",IF($I$4="YES",ROUND(-EVENT_COST/UNITS_PER_EVENT,2),0))</f>
        <v/>
      </c>
      <c r="L29" s="116">
        <f>IF($G29="","",ROUND($G29+$H29+$I29+$J29+$K29,2))</f>
        <v/>
      </c>
      <c r="M29" s="106">
        <f>IF(OR($L29="",$C29=""),"",$L29/$C29)</f>
        <v/>
      </c>
      <c r="N29">
        <f>IF($L29="","",IF($L29&lt;0,"LOSS",IF($M29&lt;0.15,"THIN","OK")))</f>
        <v/>
      </c>
      <c r="P29">
        <f>IFERROR(INDEX(GATE!$G:$G,MATCH($A29,GATE!$A:$A,0)),"")</f>
        <v/>
      </c>
    </row>
    <row r="30">
      <c r="A30" t="inlineStr">
        <is>
          <t>UC-SKW-DFO-027</t>
        </is>
      </c>
      <c r="B30">
        <f>IFERROR(INDEX(GATE!$B:$B,MATCH($A30,GATE!$A:$A,0)),"")</f>
        <v/>
      </c>
      <c r="C30" s="116">
        <f>IFERROR(INDEX(GATE!$G:$G,MATCH($A30,GATE!$A:$A,0))*IF($B$4="RETAIL",1,IF($B$4="WHOLESALE",TIER_WHOLESALE,IF($B$4="CORPORATE",TIER_CORPORATE,TIER_INFLUENCER))),"")</f>
        <v/>
      </c>
      <c r="D30" s="116">
        <f>IF($C30="","",IF(VAT_REGISTERED="YES",ROUND($C30-$C30/(1+VAT_RATE),2),0))</f>
        <v/>
      </c>
      <c r="E30" s="116">
        <f>IF($C30="","",$C30-$D30)</f>
        <v/>
      </c>
      <c r="F30" s="116">
        <f>IFERROR(INDEX(GATE!$D:$D,MATCH($A30,GATE!$A:$A,0)),"")</f>
        <v/>
      </c>
      <c r="G30" s="116">
        <f>IF(OR($E30="",$F30=""),"",$E30-$F30)</f>
        <v/>
      </c>
      <c r="H30" s="116">
        <f>IF($F30="","",ROUND(-$F30*(IF($D$4="ACTUAL",SHRINK_ACTUAL,SHRINK_PLAN)/(1-IF($D$4="ACTUAL",SHRINK_ACTUAL,SHRINK_PLAN))),2))</f>
        <v/>
      </c>
      <c r="I30" s="116">
        <f>IF($C30="","",ROUND(-$C30*IF($F$4="BANK",FEE_BANK,IF($F$4="MPESA",FEE_MPESA,FEE_CASH)),2))</f>
        <v/>
      </c>
      <c r="J30" s="116">
        <f>IF($C30="","",IF($I$4="YES",ROUND(-$C30*AGENT_RATE,2),0))</f>
        <v/>
      </c>
      <c r="K30" s="116">
        <f>IF($C30="","",IF($I$4="YES",ROUND(-EVENT_COST/UNITS_PER_EVENT,2),0))</f>
        <v/>
      </c>
      <c r="L30" s="116">
        <f>IF($G30="","",ROUND($G30+$H30+$I30+$J30+$K30,2))</f>
        <v/>
      </c>
      <c r="M30" s="106">
        <f>IF(OR($L30="",$C30=""),"",$L30/$C30)</f>
        <v/>
      </c>
      <c r="N30">
        <f>IF($L30="","",IF($L30&lt;0,"LOSS",IF($M30&lt;0.15,"THIN","OK")))</f>
        <v/>
      </c>
      <c r="P30">
        <f>IFERROR(INDEX(GATE!$G:$G,MATCH($A30,GATE!$A:$A,0)),"")</f>
        <v/>
      </c>
    </row>
    <row r="31">
      <c r="A31" t="inlineStr">
        <is>
          <t>UC-HOU-ROP-PP</t>
        </is>
      </c>
      <c r="B31">
        <f>IFERROR(INDEX(GATE!$B:$B,MATCH($A31,GATE!$A:$A,0)),"")</f>
        <v/>
      </c>
      <c r="C31" s="116">
        <f>IFERROR(INDEX(GATE!$G:$G,MATCH($A31,GATE!$A:$A,0))*IF($B$4="RETAIL",1,IF($B$4="WHOLESALE",TIER_WHOLESALE,IF($B$4="CORPORATE",TIER_CORPORATE,TIER_INFLUENCER))),"")</f>
        <v/>
      </c>
      <c r="D31" s="116">
        <f>IF($C31="","",IF(VAT_REGISTERED="YES",ROUND($C31-$C31/(1+VAT_RATE),2),0))</f>
        <v/>
      </c>
      <c r="E31" s="116">
        <f>IF($C31="","",$C31-$D31)</f>
        <v/>
      </c>
      <c r="F31" s="116">
        <f>IFERROR(INDEX(GATE!$D:$D,MATCH($A31,GATE!$A:$A,0)),"")</f>
        <v/>
      </c>
      <c r="G31" s="116">
        <f>IF(OR($E31="",$F31=""),"",$E31-$F31)</f>
        <v/>
      </c>
      <c r="H31" s="116">
        <f>IF($F31="","",ROUND(-$F31*(IF($D$4="ACTUAL",SHRINK_ACTUAL,SHRINK_PLAN)/(1-IF($D$4="ACTUAL",SHRINK_ACTUAL,SHRINK_PLAN))),2))</f>
        <v/>
      </c>
      <c r="I31" s="116">
        <f>IF($C31="","",ROUND(-$C31*IF($F$4="BANK",FEE_BANK,IF($F$4="MPESA",FEE_MPESA,FEE_CASH)),2))</f>
        <v/>
      </c>
      <c r="J31" s="116">
        <f>IF($C31="","",IF($I$4="YES",ROUND(-$C31*AGENT_RATE,2),0))</f>
        <v/>
      </c>
      <c r="K31" s="116">
        <f>IF($C31="","",IF($I$4="YES",ROUND(-EVENT_COST/UNITS_PER_EVENT,2),0))</f>
        <v/>
      </c>
      <c r="L31" s="116">
        <f>IF($G31="","",ROUND($G31+$H31+$I31+$J31+$K31,2))</f>
        <v/>
      </c>
      <c r="M31" s="106">
        <f>IF(OR($L31="",$C31=""),"",$L31/$C31)</f>
        <v/>
      </c>
      <c r="N31">
        <f>IF($L31="","",IF($L31&lt;0,"LOSS",IF($M31&lt;0.15,"THIN","OK")))</f>
        <v/>
      </c>
      <c r="P31">
        <f>IFERROR(INDEX(GATE!$G:$G,MATCH($A31,GATE!$A:$A,0)),"")</f>
        <v/>
      </c>
    </row>
    <row r="32">
      <c r="A32" t="inlineStr">
        <is>
          <t>UC-HOU-ROP-UDF</t>
        </is>
      </c>
      <c r="B32">
        <f>IFERROR(INDEX(GATE!$B:$B,MATCH($A32,GATE!$A:$A,0)),"")</f>
        <v/>
      </c>
      <c r="C32" s="116">
        <f>IFERROR(INDEX(GATE!$G:$G,MATCH($A32,GATE!$A:$A,0))*IF($B$4="RETAIL",1,IF($B$4="WHOLESALE",TIER_WHOLESALE,IF($B$4="CORPORATE",TIER_CORPORATE,TIER_INFLUENCER))),"")</f>
        <v/>
      </c>
      <c r="D32" s="116">
        <f>IF($C32="","",IF(VAT_REGISTERED="YES",ROUND($C32-$C32/(1+VAT_RATE),2),0))</f>
        <v/>
      </c>
      <c r="E32" s="116">
        <f>IF($C32="","",$C32-$D32)</f>
        <v/>
      </c>
      <c r="F32" s="116">
        <f>IFERROR(INDEX(GATE!$D:$D,MATCH($A32,GATE!$A:$A,0)),"")</f>
        <v/>
      </c>
      <c r="G32" s="116">
        <f>IF(OR($E32="",$F32=""),"",$E32-$F32)</f>
        <v/>
      </c>
      <c r="H32" s="116">
        <f>IF($F32="","",ROUND(-$F32*(IF($D$4="ACTUAL",SHRINK_ACTUAL,SHRINK_PLAN)/(1-IF($D$4="ACTUAL",SHRINK_ACTUAL,SHRINK_PLAN))),2))</f>
        <v/>
      </c>
      <c r="I32" s="116">
        <f>IF($C32="","",ROUND(-$C32*IF($F$4="BANK",FEE_BANK,IF($F$4="MPESA",FEE_MPESA,FEE_CASH)),2))</f>
        <v/>
      </c>
      <c r="J32" s="116">
        <f>IF($C32="","",IF($I$4="YES",ROUND(-$C32*AGENT_RATE,2),0))</f>
        <v/>
      </c>
      <c r="K32" s="116">
        <f>IF($C32="","",IF($I$4="YES",ROUND(-EVENT_COST/UNITS_PER_EVENT,2),0))</f>
        <v/>
      </c>
      <c r="L32" s="116">
        <f>IF($G32="","",ROUND($G32+$H32+$I32+$J32+$K32,2))</f>
        <v/>
      </c>
      <c r="M32" s="106">
        <f>IF(OR($L32="",$C32=""),"",$L32/$C32)</f>
        <v/>
      </c>
      <c r="N32">
        <f>IF($L32="","",IF($L32&lt;0,"LOSS",IF($M32&lt;0.15,"THIN","OK")))</f>
        <v/>
      </c>
      <c r="P32">
        <f>IFERROR(INDEX(GATE!$G:$G,MATCH($A32,GATE!$A:$A,0)),"")</f>
        <v/>
      </c>
    </row>
    <row r="33">
      <c r="A33" t="inlineStr">
        <is>
          <t>UC-HOU-ROP-CTO</t>
        </is>
      </c>
      <c r="B33">
        <f>IFERROR(INDEX(GATE!$B:$B,MATCH($A33,GATE!$A:$A,0)),"")</f>
        <v/>
      </c>
      <c r="C33" s="116">
        <f>IFERROR(INDEX(GATE!$G:$G,MATCH($A33,GATE!$A:$A,0))*IF($B$4="RETAIL",1,IF($B$4="WHOLESALE",TIER_WHOLESALE,IF($B$4="CORPORATE",TIER_CORPORATE,TIER_INFLUENCER))),"")</f>
        <v/>
      </c>
      <c r="D33" s="116">
        <f>IF($C33="","",IF(VAT_REGISTERED="YES",ROUND($C33-$C33/(1+VAT_RATE),2),0))</f>
        <v/>
      </c>
      <c r="E33" s="116">
        <f>IF($C33="","",$C33-$D33)</f>
        <v/>
      </c>
      <c r="F33" s="116">
        <f>IFERROR(INDEX(GATE!$D:$D,MATCH($A33,GATE!$A:$A,0)),"")</f>
        <v/>
      </c>
      <c r="G33" s="116">
        <f>IF(OR($E33="",$F33=""),"",$E33-$F33)</f>
        <v/>
      </c>
      <c r="H33" s="116">
        <f>IF($F33="","",ROUND(-$F33*(IF($D$4="ACTUAL",SHRINK_ACTUAL,SHRINK_PLAN)/(1-IF($D$4="ACTUAL",SHRINK_ACTUAL,SHRINK_PLAN))),2))</f>
        <v/>
      </c>
      <c r="I33" s="116">
        <f>IF($C33="","",ROUND(-$C33*IF($F$4="BANK",FEE_BANK,IF($F$4="MPESA",FEE_MPESA,FEE_CASH)),2))</f>
        <v/>
      </c>
      <c r="J33" s="116">
        <f>IF($C33="","",IF($I$4="YES",ROUND(-$C33*AGENT_RATE,2),0))</f>
        <v/>
      </c>
      <c r="K33" s="116">
        <f>IF($C33="","",IF($I$4="YES",ROUND(-EVENT_COST/UNITS_PER_EVENT,2),0))</f>
        <v/>
      </c>
      <c r="L33" s="116">
        <f>IF($G33="","",ROUND($G33+$H33+$I33+$J33+$K33,2))</f>
        <v/>
      </c>
      <c r="M33" s="106">
        <f>IF(OR($L33="",$C33=""),"",$L33/$C33)</f>
        <v/>
      </c>
      <c r="N33">
        <f>IF($L33="","",IF($L33&lt;0,"LOSS",IF($M33&lt;0.15,"THIN","OK")))</f>
        <v/>
      </c>
      <c r="P33">
        <f>IFERROR(INDEX(GATE!$G:$G,MATCH($A33,GATE!$A:$A,0)),"")</f>
        <v/>
      </c>
    </row>
    <row r="34">
      <c r="A34" t="inlineStr">
        <is>
          <t>UC-HOU-ROM-100g</t>
        </is>
      </c>
      <c r="B34">
        <f>IFERROR(INDEX(GATE!$B:$B,MATCH($A34,GATE!$A:$A,0)),"")</f>
        <v/>
      </c>
      <c r="C34" s="116">
        <f>IFERROR(INDEX(GATE!$G:$G,MATCH($A34,GATE!$A:$A,0))*IF($B$4="RETAIL",1,IF($B$4="WHOLESALE",TIER_WHOLESALE,IF($B$4="CORPORATE",TIER_CORPORATE,TIER_INFLUENCER))),"")</f>
        <v/>
      </c>
      <c r="D34" s="116">
        <f>IF($C34="","",IF(VAT_REGISTERED="YES",ROUND($C34-$C34/(1+VAT_RATE),2),0))</f>
        <v/>
      </c>
      <c r="E34" s="116">
        <f>IF($C34="","",$C34-$D34)</f>
        <v/>
      </c>
      <c r="F34" s="116">
        <f>IFERROR(INDEX(GATE!$D:$D,MATCH($A34,GATE!$A:$A,0)),"")</f>
        <v/>
      </c>
      <c r="G34" s="116">
        <f>IF(OR($E34="",$F34=""),"",$E34-$F34)</f>
        <v/>
      </c>
      <c r="H34" s="116">
        <f>IF($F34="","",ROUND(-$F34*(IF($D$4="ACTUAL",SHRINK_ACTUAL,SHRINK_PLAN)/(1-IF($D$4="ACTUAL",SHRINK_ACTUAL,SHRINK_PLAN))),2))</f>
        <v/>
      </c>
      <c r="I34" s="116">
        <f>IF($C34="","",ROUND(-$C34*IF($F$4="BANK",FEE_BANK,IF($F$4="MPESA",FEE_MPESA,FEE_CASH)),2))</f>
        <v/>
      </c>
      <c r="J34" s="116">
        <f>IF($C34="","",IF($I$4="YES",ROUND(-$C34*AGENT_RATE,2),0))</f>
        <v/>
      </c>
      <c r="K34" s="116">
        <f>IF($C34="","",IF($I$4="YES",ROUND(-EVENT_COST/UNITS_PER_EVENT,2),0))</f>
        <v/>
      </c>
      <c r="L34" s="116">
        <f>IF($G34="","",ROUND($G34+$H34+$I34+$J34+$K34,2))</f>
        <v/>
      </c>
      <c r="M34" s="106">
        <f>IF(OR($L34="",$C34=""),"",$L34/$C34)</f>
        <v/>
      </c>
      <c r="N34">
        <f>IF($L34="","",IF($L34&lt;0,"LOSS",IF($M34&lt;0.15,"THIN","OK")))</f>
        <v/>
      </c>
      <c r="P34">
        <f>IFERROR(INDEX(GATE!$G:$G,MATCH($A34,GATE!$A:$A,0)),"")</f>
        <v/>
      </c>
    </row>
    <row r="35">
      <c r="A35" t="inlineStr">
        <is>
          <t>UC-HOU-RO-YMT33</t>
        </is>
      </c>
      <c r="B35">
        <f>IFERROR(INDEX(GATE!$B:$B,MATCH($A35,GATE!$A:$A,0)),"")</f>
        <v/>
      </c>
      <c r="C35" s="116">
        <f>IFERROR(INDEX(GATE!$G:$G,MATCH($A35,GATE!$A:$A,0))*IF($B$4="RETAIL",1,IF($B$4="WHOLESALE",TIER_WHOLESALE,IF($B$4="CORPORATE",TIER_CORPORATE,TIER_INFLUENCER))),"")</f>
        <v/>
      </c>
      <c r="D35" s="116">
        <f>IF($C35="","",IF(VAT_REGISTERED="YES",ROUND($C35-$C35/(1+VAT_RATE),2),0))</f>
        <v/>
      </c>
      <c r="E35" s="116">
        <f>IF($C35="","",$C35-$D35)</f>
        <v/>
      </c>
      <c r="F35" s="116">
        <f>IFERROR(INDEX(GATE!$D:$D,MATCH($A35,GATE!$A:$A,0)),"")</f>
        <v/>
      </c>
      <c r="G35" s="116">
        <f>IF(OR($E35="",$F35=""),"",$E35-$F35)</f>
        <v/>
      </c>
      <c r="H35" s="116">
        <f>IF($F35="","",ROUND(-$F35*(IF($D$4="ACTUAL",SHRINK_ACTUAL,SHRINK_PLAN)/(1-IF($D$4="ACTUAL",SHRINK_ACTUAL,SHRINK_PLAN))),2))</f>
        <v/>
      </c>
      <c r="I35" s="116">
        <f>IF($C35="","",ROUND(-$C35*IF($F$4="BANK",FEE_BANK,IF($F$4="MPESA",FEE_MPESA,FEE_CASH)),2))</f>
        <v/>
      </c>
      <c r="J35" s="116">
        <f>IF($C35="","",IF($I$4="YES",ROUND(-$C35*AGENT_RATE,2),0))</f>
        <v/>
      </c>
      <c r="K35" s="116">
        <f>IF($C35="","",IF($I$4="YES",ROUND(-EVENT_COST/UNITS_PER_EVENT,2),0))</f>
        <v/>
      </c>
      <c r="L35" s="116">
        <f>IF($G35="","",ROUND($G35+$H35+$I35+$J35+$K35,2))</f>
        <v/>
      </c>
      <c r="M35" s="106">
        <f>IF(OR($L35="",$C35=""),"",$L35/$C35)</f>
        <v/>
      </c>
      <c r="N35">
        <f>IF($L35="","",IF($L35&lt;0,"LOSS",IF($M35&lt;0.15,"THIN","OK")))</f>
        <v/>
      </c>
      <c r="P35">
        <f>IFERROR(INDEX(GATE!$G:$G,MATCH($A35,GATE!$A:$A,0)),"")</f>
        <v/>
      </c>
    </row>
    <row r="36">
      <c r="A36" t="inlineStr">
        <is>
          <t>UC-HOU-RO-CBT33</t>
        </is>
      </c>
      <c r="B36">
        <f>IFERROR(INDEX(GATE!$B:$B,MATCH($A36,GATE!$A:$A,0)),"")</f>
        <v/>
      </c>
      <c r="C36" s="116">
        <f>IFERROR(INDEX(GATE!$G:$G,MATCH($A36,GATE!$A:$A,0))*IF($B$4="RETAIL",1,IF($B$4="WHOLESALE",TIER_WHOLESALE,IF($B$4="CORPORATE",TIER_CORPORATE,TIER_INFLUENCER))),"")</f>
        <v/>
      </c>
      <c r="D36" s="116">
        <f>IF($C36="","",IF(VAT_REGISTERED="YES",ROUND($C36-$C36/(1+VAT_RATE),2),0))</f>
        <v/>
      </c>
      <c r="E36" s="116">
        <f>IF($C36="","",$C36-$D36)</f>
        <v/>
      </c>
      <c r="F36" s="116">
        <f>IFERROR(INDEX(GATE!$D:$D,MATCH($A36,GATE!$A:$A,0)),"")</f>
        <v/>
      </c>
      <c r="G36" s="116">
        <f>IF(OR($E36="",$F36=""),"",$E36-$F36)</f>
        <v/>
      </c>
      <c r="H36" s="116">
        <f>IF($F36="","",ROUND(-$F36*(IF($D$4="ACTUAL",SHRINK_ACTUAL,SHRINK_PLAN)/(1-IF($D$4="ACTUAL",SHRINK_ACTUAL,SHRINK_PLAN))),2))</f>
        <v/>
      </c>
      <c r="I36" s="116">
        <f>IF($C36="","",ROUND(-$C36*IF($F$4="BANK",FEE_BANK,IF($F$4="MPESA",FEE_MPESA,FEE_CASH)),2))</f>
        <v/>
      </c>
      <c r="J36" s="116">
        <f>IF($C36="","",IF($I$4="YES",ROUND(-$C36*AGENT_RATE,2),0))</f>
        <v/>
      </c>
      <c r="K36" s="116">
        <f>IF($C36="","",IF($I$4="YES",ROUND(-EVENT_COST/UNITS_PER_EVENT,2),0))</f>
        <v/>
      </c>
      <c r="L36" s="116">
        <f>IF($G36="","",ROUND($G36+$H36+$I36+$J36+$K36,2))</f>
        <v/>
      </c>
      <c r="M36" s="106">
        <f>IF(OR($L36="",$C36=""),"",$L36/$C36)</f>
        <v/>
      </c>
      <c r="N36">
        <f>IF($L36="","",IF($L36&lt;0,"LOSS",IF($M36&lt;0.15,"THIN","OK")))</f>
        <v/>
      </c>
      <c r="P36">
        <f>IFERROR(INDEX(GATE!$G:$G,MATCH($A36,GATE!$A:$A,0)),"")</f>
        <v/>
      </c>
    </row>
    <row r="37">
      <c r="A37" t="inlineStr">
        <is>
          <t>UC-BOG-ECO-ECF1</t>
        </is>
      </c>
      <c r="B37">
        <f>IFERROR(INDEX(GATE!$B:$B,MATCH($A37,GATE!$A:$A,0)),"")</f>
        <v/>
      </c>
      <c r="C37" s="116">
        <f>IFERROR(INDEX(GATE!$G:$G,MATCH($A37,GATE!$A:$A,0))*IF($B$4="RETAIL",1,IF($B$4="WHOLESALE",TIER_WHOLESALE,IF($B$4="CORPORATE",TIER_CORPORATE,TIER_INFLUENCER))),"")</f>
        <v/>
      </c>
      <c r="D37" s="116">
        <f>IF($C37="","",IF(VAT_REGISTERED="YES",ROUND($C37-$C37/(1+VAT_RATE),2),0))</f>
        <v/>
      </c>
      <c r="E37" s="116">
        <f>IF($C37="","",$C37-$D37)</f>
        <v/>
      </c>
      <c r="F37" s="116">
        <f>IFERROR(INDEX(GATE!$D:$D,MATCH($A37,GATE!$A:$A,0)),"")</f>
        <v/>
      </c>
      <c r="G37" s="116">
        <f>IF(OR($E37="",$F37=""),"",$E37-$F37)</f>
        <v/>
      </c>
      <c r="H37" s="116">
        <f>IF($F37="","",ROUND(-$F37*(IF($D$4="ACTUAL",SHRINK_ACTUAL,SHRINK_PLAN)/(1-IF($D$4="ACTUAL",SHRINK_ACTUAL,SHRINK_PLAN))),2))</f>
        <v/>
      </c>
      <c r="I37" s="116">
        <f>IF($C37="","",ROUND(-$C37*IF($F$4="BANK",FEE_BANK,IF($F$4="MPESA",FEE_MPESA,FEE_CASH)),2))</f>
        <v/>
      </c>
      <c r="J37" s="116">
        <f>IF($C37="","",IF($I$4="YES",ROUND(-$C37*AGENT_RATE,2),0))</f>
        <v/>
      </c>
      <c r="K37" s="116">
        <f>IF($C37="","",IF($I$4="YES",ROUND(-EVENT_COST/UNITS_PER_EVENT,2),0))</f>
        <v/>
      </c>
      <c r="L37" s="116">
        <f>IF($G37="","",ROUND($G37+$H37+$I37+$J37+$K37,2))</f>
        <v/>
      </c>
      <c r="M37" s="106">
        <f>IF(OR($L37="",$C37=""),"",$L37/$C37)</f>
        <v/>
      </c>
      <c r="N37">
        <f>IF($L37="","",IF($L37&lt;0,"LOSS",IF($M37&lt;0.15,"THIN","OK")))</f>
        <v/>
      </c>
      <c r="P37">
        <f>IFERROR(INDEX(GATE!$G:$G,MATCH($A37,GATE!$A:$A,0)),"")</f>
        <v/>
      </c>
    </row>
    <row r="39">
      <c r="B39" s="88" t="inlineStr">
        <is>
          <t>TOTALS / AVERAGE</t>
        </is>
      </c>
      <c r="C39" s="117">
        <f>SUM(C7:C37)</f>
        <v/>
      </c>
      <c r="F39" s="117">
        <f>SUM(F7:F37)</f>
        <v/>
      </c>
      <c r="G39" s="117">
        <f>SUM(G7:G37)</f>
        <v/>
      </c>
      <c r="H39" s="117">
        <f>SUM(H7:H37)</f>
        <v/>
      </c>
      <c r="I39" s="117">
        <f>SUM(I7:I37)</f>
        <v/>
      </c>
      <c r="J39" s="117">
        <f>SUM(J7:J37)</f>
        <v/>
      </c>
      <c r="K39" s="117">
        <f>SUM(K7:K37)</f>
        <v/>
      </c>
      <c r="L39" s="117">
        <f>SUM(L7:L37)</f>
        <v/>
      </c>
      <c r="M39" s="118">
        <f>IF($C39=0,"",$L39/$C39)</f>
        <v/>
      </c>
    </row>
    <row r="41">
      <c r="B41" t="inlineStr">
        <is>
          <t>LOSS</t>
        </is>
      </c>
      <c r="C41" s="88">
        <f>COUNTIF($N$7:$N$37,"LOSS")</f>
        <v/>
      </c>
    </row>
    <row r="42">
      <c r="B42" t="inlineStr">
        <is>
          <t>THIN</t>
        </is>
      </c>
      <c r="C42" s="88">
        <f>COUNTIF($N$7:$N$37,"THIN")</f>
        <v/>
      </c>
    </row>
    <row r="43">
      <c r="B43" t="inlineStr">
        <is>
          <t>OK</t>
        </is>
      </c>
      <c r="C43" s="88">
        <f>COUNTIF($N$7:$N$37,"OK")</f>
        <v/>
      </c>
    </row>
  </sheetData>
  <conditionalFormatting sqref="N7:N37">
    <cfRule type="cellIs" priority="1" operator="equal" dxfId="34">
      <formula>"LOSS"</formula>
    </cfRule>
    <cfRule type="cellIs" priority="2" operator="equal" dxfId="37">
      <formula>"THIN"</formula>
    </cfRule>
    <cfRule type="cellIs" priority="3" operator="equal" dxfId="36">
      <formula>"OK"</formula>
    </cfRule>
  </conditionalFormatting>
  <dataValidations count="4">
    <dataValidation sqref="B4" showDropDown="0" showInputMessage="0" showErrorMessage="0" allowBlank="0" type="list">
      <formula1>"RETAIL,WHOLESALE,CORPORATE,INFLUENCER"</formula1>
    </dataValidation>
    <dataValidation sqref="D4" showDropDown="0" showInputMessage="0" showErrorMessage="0" allowBlank="0" type="list">
      <formula1>"ACTUAL,PLAN"</formula1>
    </dataValidation>
    <dataValidation sqref="F4" showDropDown="0" showInputMessage="0" showErrorMessage="0" allowBlank="0" type="list">
      <formula1>"BANK,MPESA,CASH"</formula1>
    </dataValidation>
    <dataValidation sqref="I4"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workbookViewId="0">
      <pane ySplit="23" topLeftCell="A24" activePane="bottomLeft" state="frozen"/>
      <selection pane="bottomLeft" activeCell="A1" sqref="A1"/>
    </sheetView>
  </sheetViews>
  <sheetFormatPr baseColWidth="8" defaultRowHeight="15"/>
  <cols>
    <col width="26" customWidth="1" min="1" max="1"/>
    <col width="11" customWidth="1" min="2" max="2"/>
    <col width="12" customWidth="1" min="3" max="3"/>
    <col width="12" customWidth="1" min="4" max="4"/>
    <col width="12" customWidth="1" min="5" max="5"/>
    <col width="12" customWidth="1" min="6" max="6"/>
    <col width="11" customWidth="1" min="7" max="7"/>
    <col width="11" customWidth="1" min="8" max="8"/>
    <col width="11" customWidth="1" min="9" max="9"/>
    <col width="13" customWidth="1" min="10" max="10"/>
    <col width="9" customWidth="1" min="11" max="11"/>
    <col width="11" customWidth="1" min="12" max="12"/>
  </cols>
  <sheetData>
    <row r="1">
      <c r="A1" s="89" t="inlineStr">
        <is>
          <t>CHANNEL ECONOMICS — the same basket sold five ways, at three shrinkage rates</t>
        </is>
      </c>
    </row>
    <row r="2">
      <c r="A2" t="inlineStr">
        <is>
          <t>One unit of every publishable SKU (31 products). Live: change any parameter on GUARDRAILS and every cell below moves.</t>
        </is>
      </c>
    </row>
    <row r="4">
      <c r="A4" s="90" t="inlineStr">
        <is>
          <t>CHANNEL</t>
        </is>
      </c>
      <c r="B4" s="90" t="inlineStr">
        <is>
          <t>SHRINKAGE</t>
        </is>
      </c>
      <c r="C4" s="90" t="inlineStr">
        <is>
          <t>REVENUE</t>
        </is>
      </c>
      <c r="D4" s="90" t="inlineStr">
        <is>
          <t>LANDED</t>
        </is>
      </c>
      <c r="E4" s="90" t="inlineStr">
        <is>
          <t>GROSS</t>
        </is>
      </c>
      <c r="F4" s="90" t="inlineStr">
        <is>
          <t>SHRINK LOSS</t>
        </is>
      </c>
      <c r="G4" s="90" t="inlineStr">
        <is>
          <t>PAY FEE</t>
        </is>
      </c>
      <c r="H4" s="90" t="inlineStr">
        <is>
          <t>AGENT</t>
        </is>
      </c>
      <c r="I4" s="90" t="inlineStr">
        <is>
          <t>EVENT</t>
        </is>
      </c>
      <c r="J4" s="90" t="inlineStr">
        <is>
          <t>CONTRIBUTION</t>
        </is>
      </c>
      <c r="K4" s="90" t="inlineStr">
        <is>
          <t>MARGIN</t>
        </is>
      </c>
      <c r="L4" s="90" t="inlineStr">
        <is>
          <t>VERDICT</t>
        </is>
      </c>
    </row>
    <row r="5">
      <c r="A5" s="88" t="inlineStr">
        <is>
          <t>Retail walk-in</t>
        </is>
      </c>
      <c r="B5" t="inlineStr">
        <is>
          <t>historical 37.3%</t>
        </is>
      </c>
      <c r="C5" s="116">
        <f>SUM(UNIT_ECONOMICS!$P$7:$P$37)*1</f>
        <v/>
      </c>
      <c r="D5" s="116">
        <f>SUM(UNIT_ECONOMICS!$F$7:$F$37)</f>
        <v/>
      </c>
      <c r="E5" s="116">
        <f>$C5-$D5</f>
        <v/>
      </c>
      <c r="F5" s="116">
        <f>-$D5*(SHRINK_ACTUAL/(1-SHRINK_ACTUAL))</f>
        <v/>
      </c>
      <c r="G5" s="116">
        <f>-$C5*FEE_MPESA</f>
        <v/>
      </c>
      <c r="H5" s="116">
        <f>-$C5*AGENT_RATE*0</f>
        <v/>
      </c>
      <c r="I5" s="116">
        <f>-31*EVENT_COST/UNITS_PER_EVENT*0</f>
        <v/>
      </c>
      <c r="J5" s="116">
        <f>SUM($E5:$I5)</f>
        <v/>
      </c>
      <c r="K5" s="106">
        <f>IF($C5=0,"",$J5/$C5)</f>
        <v/>
      </c>
      <c r="L5">
        <f>IF($J5&lt;0,"LOSS",IF($K5&lt;0.15,"THIN","OK"))</f>
        <v/>
      </c>
    </row>
    <row r="6">
      <c r="B6" t="inlineStr">
        <is>
          <t>plan 10%</t>
        </is>
      </c>
      <c r="C6" s="116">
        <f>SUM(UNIT_ECONOMICS!$P$7:$P$37)*1</f>
        <v/>
      </c>
      <c r="D6" s="116">
        <f>SUM(UNIT_ECONOMICS!$F$7:$F$37)</f>
        <v/>
      </c>
      <c r="E6" s="116">
        <f>$C6-$D6</f>
        <v/>
      </c>
      <c r="F6" s="116">
        <f>-$D6*(SHRINK_PLAN/(1-SHRINK_PLAN))</f>
        <v/>
      </c>
      <c r="G6" s="116">
        <f>-$C6*FEE_MPESA</f>
        <v/>
      </c>
      <c r="H6" s="116">
        <f>-$C6*AGENT_RATE*0</f>
        <v/>
      </c>
      <c r="I6" s="116">
        <f>-31*EVENT_COST/UNITS_PER_EVENT*0</f>
        <v/>
      </c>
      <c r="J6" s="116">
        <f>SUM($E6:$I6)</f>
        <v/>
      </c>
      <c r="K6" s="106">
        <f>IF($C6=0,"",$J6/$C6)</f>
        <v/>
      </c>
      <c r="L6">
        <f>IF($J6&lt;0,"LOSS",IF($K6&lt;0.15,"THIN","OK"))</f>
        <v/>
      </c>
    </row>
    <row r="7">
      <c r="B7" t="inlineStr">
        <is>
          <t>best case 5%</t>
        </is>
      </c>
      <c r="C7" s="116">
        <f>SUM(UNIT_ECONOMICS!$P$7:$P$37)*1</f>
        <v/>
      </c>
      <c r="D7" s="116">
        <f>SUM(UNIT_ECONOMICS!$F$7:$F$37)</f>
        <v/>
      </c>
      <c r="E7" s="116">
        <f>$C7-$D7</f>
        <v/>
      </c>
      <c r="F7" s="116">
        <f>-$D7*(0.05/(1-0.05))</f>
        <v/>
      </c>
      <c r="G7" s="116">
        <f>-$C7*FEE_MPESA</f>
        <v/>
      </c>
      <c r="H7" s="116">
        <f>-$C7*AGENT_RATE*0</f>
        <v/>
      </c>
      <c r="I7" s="116">
        <f>-31*EVENT_COST/UNITS_PER_EVENT*0</f>
        <v/>
      </c>
      <c r="J7" s="116">
        <f>SUM($E7:$I7)</f>
        <v/>
      </c>
      <c r="K7" s="106">
        <f>IF($C7=0,"",$J7/$C7)</f>
        <v/>
      </c>
      <c r="L7">
        <f>IF($J7&lt;0,"LOSS",IF($K7&lt;0.15,"THIN","OK"))</f>
        <v/>
      </c>
    </row>
    <row r="8">
      <c r="A8" s="88" t="inlineStr">
        <is>
          <t>Activation (agent + event)</t>
        </is>
      </c>
      <c r="B8" t="inlineStr">
        <is>
          <t>historical 37.3%</t>
        </is>
      </c>
      <c r="C8" s="116">
        <f>SUM(UNIT_ECONOMICS!$P$7:$P$37)*1</f>
        <v/>
      </c>
      <c r="D8" s="116">
        <f>SUM(UNIT_ECONOMICS!$F$7:$F$37)</f>
        <v/>
      </c>
      <c r="E8" s="116">
        <f>$C8-$D8</f>
        <v/>
      </c>
      <c r="F8" s="116">
        <f>-$D8*(SHRINK_ACTUAL/(1-SHRINK_ACTUAL))</f>
        <v/>
      </c>
      <c r="G8" s="116">
        <f>-$C8*FEE_MPESA</f>
        <v/>
      </c>
      <c r="H8" s="116">
        <f>-$C8*AGENT_RATE*1</f>
        <v/>
      </c>
      <c r="I8" s="116">
        <f>-31*EVENT_COST/UNITS_PER_EVENT*1</f>
        <v/>
      </c>
      <c r="J8" s="116">
        <f>SUM($E8:$I8)</f>
        <v/>
      </c>
      <c r="K8" s="106">
        <f>IF($C8=0,"",$J8/$C8)</f>
        <v/>
      </c>
      <c r="L8">
        <f>IF($J8&lt;0,"LOSS",IF($K8&lt;0.15,"THIN","OK"))</f>
        <v/>
      </c>
    </row>
    <row r="9">
      <c r="B9" t="inlineStr">
        <is>
          <t>plan 10%</t>
        </is>
      </c>
      <c r="C9" s="116">
        <f>SUM(UNIT_ECONOMICS!$P$7:$P$37)*1</f>
        <v/>
      </c>
      <c r="D9" s="116">
        <f>SUM(UNIT_ECONOMICS!$F$7:$F$37)</f>
        <v/>
      </c>
      <c r="E9" s="116">
        <f>$C9-$D9</f>
        <v/>
      </c>
      <c r="F9" s="116">
        <f>-$D9*(SHRINK_PLAN/(1-SHRINK_PLAN))</f>
        <v/>
      </c>
      <c r="G9" s="116">
        <f>-$C9*FEE_MPESA</f>
        <v/>
      </c>
      <c r="H9" s="116">
        <f>-$C9*AGENT_RATE*1</f>
        <v/>
      </c>
      <c r="I9" s="116">
        <f>-31*EVENT_COST/UNITS_PER_EVENT*1</f>
        <v/>
      </c>
      <c r="J9" s="116">
        <f>SUM($E9:$I9)</f>
        <v/>
      </c>
      <c r="K9" s="106">
        <f>IF($C9=0,"",$J9/$C9)</f>
        <v/>
      </c>
      <c r="L9">
        <f>IF($J9&lt;0,"LOSS",IF($K9&lt;0.15,"THIN","OK"))</f>
        <v/>
      </c>
    </row>
    <row r="10">
      <c r="B10" t="inlineStr">
        <is>
          <t>best case 5%</t>
        </is>
      </c>
      <c r="C10" s="116">
        <f>SUM(UNIT_ECONOMICS!$P$7:$P$37)*1</f>
        <v/>
      </c>
      <c r="D10" s="116">
        <f>SUM(UNIT_ECONOMICS!$F$7:$F$37)</f>
        <v/>
      </c>
      <c r="E10" s="116">
        <f>$C10-$D10</f>
        <v/>
      </c>
      <c r="F10" s="116">
        <f>-$D10*(0.05/(1-0.05))</f>
        <v/>
      </c>
      <c r="G10" s="116">
        <f>-$C10*FEE_MPESA</f>
        <v/>
      </c>
      <c r="H10" s="116">
        <f>-$C10*AGENT_RATE*1</f>
        <v/>
      </c>
      <c r="I10" s="116">
        <f>-31*EVENT_COST/UNITS_PER_EVENT*1</f>
        <v/>
      </c>
      <c r="J10" s="116">
        <f>SUM($E10:$I10)</f>
        <v/>
      </c>
      <c r="K10" s="106">
        <f>IF($C10=0,"",$J10/$C10)</f>
        <v/>
      </c>
      <c r="L10">
        <f>IF($J10&lt;0,"LOSS",IF($K10&lt;0.15,"THIN","OK"))</f>
        <v/>
      </c>
    </row>
    <row r="11">
      <c r="A11" s="88" t="inlineStr">
        <is>
          <t>Wholesale</t>
        </is>
      </c>
      <c r="B11" t="inlineStr">
        <is>
          <t>historical 37.3%</t>
        </is>
      </c>
      <c r="C11" s="116">
        <f>SUM(UNIT_ECONOMICS!$P$7:$P$37)*TIER_WHOLESALE</f>
        <v/>
      </c>
      <c r="D11" s="116">
        <f>SUM(UNIT_ECONOMICS!$F$7:$F$37)</f>
        <v/>
      </c>
      <c r="E11" s="116">
        <f>$C11-$D11</f>
        <v/>
      </c>
      <c r="F11" s="116">
        <f>-$D11*(SHRINK_ACTUAL/(1-SHRINK_ACTUAL))</f>
        <v/>
      </c>
      <c r="G11" s="116">
        <f>-$C11*FEE_BANK</f>
        <v/>
      </c>
      <c r="H11" s="116">
        <f>-$C11*AGENT_RATE*0</f>
        <v/>
      </c>
      <c r="I11" s="116">
        <f>-31*EVENT_COST/UNITS_PER_EVENT*0</f>
        <v/>
      </c>
      <c r="J11" s="116">
        <f>SUM($E11:$I11)</f>
        <v/>
      </c>
      <c r="K11" s="106">
        <f>IF($C11=0,"",$J11/$C11)</f>
        <v/>
      </c>
      <c r="L11">
        <f>IF($J11&lt;0,"LOSS",IF($K11&lt;0.15,"THIN","OK"))</f>
        <v/>
      </c>
    </row>
    <row r="12">
      <c r="B12" t="inlineStr">
        <is>
          <t>plan 10%</t>
        </is>
      </c>
      <c r="C12" s="116">
        <f>SUM(UNIT_ECONOMICS!$P$7:$P$37)*TIER_WHOLESALE</f>
        <v/>
      </c>
      <c r="D12" s="116">
        <f>SUM(UNIT_ECONOMICS!$F$7:$F$37)</f>
        <v/>
      </c>
      <c r="E12" s="116">
        <f>$C12-$D12</f>
        <v/>
      </c>
      <c r="F12" s="116">
        <f>-$D12*(SHRINK_PLAN/(1-SHRINK_PLAN))</f>
        <v/>
      </c>
      <c r="G12" s="116">
        <f>-$C12*FEE_BANK</f>
        <v/>
      </c>
      <c r="H12" s="116">
        <f>-$C12*AGENT_RATE*0</f>
        <v/>
      </c>
      <c r="I12" s="116">
        <f>-31*EVENT_COST/UNITS_PER_EVENT*0</f>
        <v/>
      </c>
      <c r="J12" s="116">
        <f>SUM($E12:$I12)</f>
        <v/>
      </c>
      <c r="K12" s="106">
        <f>IF($C12=0,"",$J12/$C12)</f>
        <v/>
      </c>
      <c r="L12">
        <f>IF($J12&lt;0,"LOSS",IF($K12&lt;0.15,"THIN","OK"))</f>
        <v/>
      </c>
    </row>
    <row r="13">
      <c r="B13" t="inlineStr">
        <is>
          <t>best case 5%</t>
        </is>
      </c>
      <c r="C13" s="116">
        <f>SUM(UNIT_ECONOMICS!$P$7:$P$37)*TIER_WHOLESALE</f>
        <v/>
      </c>
      <c r="D13" s="116">
        <f>SUM(UNIT_ECONOMICS!$F$7:$F$37)</f>
        <v/>
      </c>
      <c r="E13" s="116">
        <f>$C13-$D13</f>
        <v/>
      </c>
      <c r="F13" s="116">
        <f>-$D13*(0.05/(1-0.05))</f>
        <v/>
      </c>
      <c r="G13" s="116">
        <f>-$C13*FEE_BANK</f>
        <v/>
      </c>
      <c r="H13" s="116">
        <f>-$C13*AGENT_RATE*0</f>
        <v/>
      </c>
      <c r="I13" s="116">
        <f>-31*EVENT_COST/UNITS_PER_EVENT*0</f>
        <v/>
      </c>
      <c r="J13" s="116">
        <f>SUM($E13:$I13)</f>
        <v/>
      </c>
      <c r="K13" s="106">
        <f>IF($C13=0,"",$J13/$C13)</f>
        <v/>
      </c>
      <c r="L13">
        <f>IF($J13&lt;0,"LOSS",IF($K13&lt;0.15,"THIN","OK"))</f>
        <v/>
      </c>
    </row>
    <row r="14">
      <c r="A14" s="88" t="inlineStr">
        <is>
          <t>Corporate</t>
        </is>
      </c>
      <c r="B14" t="inlineStr">
        <is>
          <t>historical 37.3%</t>
        </is>
      </c>
      <c r="C14" s="116">
        <f>SUM(UNIT_ECONOMICS!$P$7:$P$37)*TIER_CORPORATE</f>
        <v/>
      </c>
      <c r="D14" s="116">
        <f>SUM(UNIT_ECONOMICS!$F$7:$F$37)</f>
        <v/>
      </c>
      <c r="E14" s="116">
        <f>$C14-$D14</f>
        <v/>
      </c>
      <c r="F14" s="116">
        <f>-$D14*(SHRINK_ACTUAL/(1-SHRINK_ACTUAL))</f>
        <v/>
      </c>
      <c r="G14" s="116">
        <f>-$C14*FEE_BANK</f>
        <v/>
      </c>
      <c r="H14" s="116">
        <f>-$C14*AGENT_RATE*0</f>
        <v/>
      </c>
      <c r="I14" s="116">
        <f>-31*EVENT_COST/UNITS_PER_EVENT*0</f>
        <v/>
      </c>
      <c r="J14" s="116">
        <f>SUM($E14:$I14)</f>
        <v/>
      </c>
      <c r="K14" s="106">
        <f>IF($C14=0,"",$J14/$C14)</f>
        <v/>
      </c>
      <c r="L14">
        <f>IF($J14&lt;0,"LOSS",IF($K14&lt;0.15,"THIN","OK"))</f>
        <v/>
      </c>
    </row>
    <row r="15">
      <c r="B15" t="inlineStr">
        <is>
          <t>plan 10%</t>
        </is>
      </c>
      <c r="C15" s="116">
        <f>SUM(UNIT_ECONOMICS!$P$7:$P$37)*TIER_CORPORATE</f>
        <v/>
      </c>
      <c r="D15" s="116">
        <f>SUM(UNIT_ECONOMICS!$F$7:$F$37)</f>
        <v/>
      </c>
      <c r="E15" s="116">
        <f>$C15-$D15</f>
        <v/>
      </c>
      <c r="F15" s="116">
        <f>-$D15*(SHRINK_PLAN/(1-SHRINK_PLAN))</f>
        <v/>
      </c>
      <c r="G15" s="116">
        <f>-$C15*FEE_BANK</f>
        <v/>
      </c>
      <c r="H15" s="116">
        <f>-$C15*AGENT_RATE*0</f>
        <v/>
      </c>
      <c r="I15" s="116">
        <f>-31*EVENT_COST/UNITS_PER_EVENT*0</f>
        <v/>
      </c>
      <c r="J15" s="116">
        <f>SUM($E15:$I15)</f>
        <v/>
      </c>
      <c r="K15" s="106">
        <f>IF($C15=0,"",$J15/$C15)</f>
        <v/>
      </c>
      <c r="L15">
        <f>IF($J15&lt;0,"LOSS",IF($K15&lt;0.15,"THIN","OK"))</f>
        <v/>
      </c>
    </row>
    <row r="16">
      <c r="B16" t="inlineStr">
        <is>
          <t>best case 5%</t>
        </is>
      </c>
      <c r="C16" s="116">
        <f>SUM(UNIT_ECONOMICS!$P$7:$P$37)*TIER_CORPORATE</f>
        <v/>
      </c>
      <c r="D16" s="116">
        <f>SUM(UNIT_ECONOMICS!$F$7:$F$37)</f>
        <v/>
      </c>
      <c r="E16" s="116">
        <f>$C16-$D16</f>
        <v/>
      </c>
      <c r="F16" s="116">
        <f>-$D16*(0.05/(1-0.05))</f>
        <v/>
      </c>
      <c r="G16" s="116">
        <f>-$C16*FEE_BANK</f>
        <v/>
      </c>
      <c r="H16" s="116">
        <f>-$C16*AGENT_RATE*0</f>
        <v/>
      </c>
      <c r="I16" s="116">
        <f>-31*EVENT_COST/UNITS_PER_EVENT*0</f>
        <v/>
      </c>
      <c r="J16" s="116">
        <f>SUM($E16:$I16)</f>
        <v/>
      </c>
      <c r="K16" s="106">
        <f>IF($C16=0,"",$J16/$C16)</f>
        <v/>
      </c>
      <c r="L16">
        <f>IF($J16&lt;0,"LOSS",IF($K16&lt;0.15,"THIN","OK"))</f>
        <v/>
      </c>
    </row>
    <row r="17">
      <c r="A17" s="88" t="inlineStr">
        <is>
          <t>Influencer</t>
        </is>
      </c>
      <c r="B17" t="inlineStr">
        <is>
          <t>historical 37.3%</t>
        </is>
      </c>
      <c r="C17" s="116">
        <f>SUM(UNIT_ECONOMICS!$P$7:$P$37)*TIER_INFLUENCER</f>
        <v/>
      </c>
      <c r="D17" s="116">
        <f>SUM(UNIT_ECONOMICS!$F$7:$F$37)</f>
        <v/>
      </c>
      <c r="E17" s="116">
        <f>$C17-$D17</f>
        <v/>
      </c>
      <c r="F17" s="116">
        <f>-$D17*(SHRINK_ACTUAL/(1-SHRINK_ACTUAL))</f>
        <v/>
      </c>
      <c r="G17" s="116">
        <f>-$C17*FEE_MPESA</f>
        <v/>
      </c>
      <c r="H17" s="116">
        <f>-$C17*AGENT_RATE*0</f>
        <v/>
      </c>
      <c r="I17" s="116">
        <f>-31*EVENT_COST/UNITS_PER_EVENT*0</f>
        <v/>
      </c>
      <c r="J17" s="116">
        <f>SUM($E17:$I17)</f>
        <v/>
      </c>
      <c r="K17" s="106">
        <f>IF($C17=0,"",$J17/$C17)</f>
        <v/>
      </c>
      <c r="L17">
        <f>IF($J17&lt;0,"LOSS",IF($K17&lt;0.15,"THIN","OK"))</f>
        <v/>
      </c>
    </row>
    <row r="18">
      <c r="B18" t="inlineStr">
        <is>
          <t>plan 10%</t>
        </is>
      </c>
      <c r="C18" s="116">
        <f>SUM(UNIT_ECONOMICS!$P$7:$P$37)*TIER_INFLUENCER</f>
        <v/>
      </c>
      <c r="D18" s="116">
        <f>SUM(UNIT_ECONOMICS!$F$7:$F$37)</f>
        <v/>
      </c>
      <c r="E18" s="116">
        <f>$C18-$D18</f>
        <v/>
      </c>
      <c r="F18" s="116">
        <f>-$D18*(SHRINK_PLAN/(1-SHRINK_PLAN))</f>
        <v/>
      </c>
      <c r="G18" s="116">
        <f>-$C18*FEE_MPESA</f>
        <v/>
      </c>
      <c r="H18" s="116">
        <f>-$C18*AGENT_RATE*0</f>
        <v/>
      </c>
      <c r="I18" s="116">
        <f>-31*EVENT_COST/UNITS_PER_EVENT*0</f>
        <v/>
      </c>
      <c r="J18" s="116">
        <f>SUM($E18:$I18)</f>
        <v/>
      </c>
      <c r="K18" s="106">
        <f>IF($C18=0,"",$J18/$C18)</f>
        <v/>
      </c>
      <c r="L18">
        <f>IF($J18&lt;0,"LOSS",IF($K18&lt;0.15,"THIN","OK"))</f>
        <v/>
      </c>
    </row>
    <row r="19">
      <c r="B19" t="inlineStr">
        <is>
          <t>best case 5%</t>
        </is>
      </c>
      <c r="C19" s="116">
        <f>SUM(UNIT_ECONOMICS!$P$7:$P$37)*TIER_INFLUENCER</f>
        <v/>
      </c>
      <c r="D19" s="116">
        <f>SUM(UNIT_ECONOMICS!$F$7:$F$37)</f>
        <v/>
      </c>
      <c r="E19" s="116">
        <f>$C19-$D19</f>
        <v/>
      </c>
      <c r="F19" s="116">
        <f>-$D19*(0.05/(1-0.05))</f>
        <v/>
      </c>
      <c r="G19" s="116">
        <f>-$C19*FEE_MPESA</f>
        <v/>
      </c>
      <c r="H19" s="116">
        <f>-$C19*AGENT_RATE*0</f>
        <v/>
      </c>
      <c r="I19" s="116">
        <f>-31*EVENT_COST/UNITS_PER_EVENT*0</f>
        <v/>
      </c>
      <c r="J19" s="116">
        <f>SUM($E19:$I19)</f>
        <v/>
      </c>
      <c r="K19" s="106">
        <f>IF($C19=0,"",$J19/$C19)</f>
        <v/>
      </c>
      <c r="L19">
        <f>IF($J19&lt;0,"LOSS",IF($K19&lt;0.15,"THIN","OK"))</f>
        <v/>
      </c>
    </row>
    <row r="21">
      <c r="A21" s="103" t="inlineStr">
        <is>
          <t>ACTIVATION BREAK-EVEN</t>
        </is>
      </c>
    </row>
    <row r="22">
      <c r="A22" s="91" t="inlineStr">
        <is>
          <t>Units that must sell at one event before the KES 7,000 of venue and staff is covered.</t>
        </is>
      </c>
    </row>
    <row r="23">
      <c r="A23" s="90" t="inlineStr">
        <is>
          <t>SHRINKAGE</t>
        </is>
      </c>
      <c r="B23" s="90" t="inlineStr">
        <is>
          <t>AVG PRICE/UNIT</t>
        </is>
      </c>
      <c r="C23" s="90" t="inlineStr">
        <is>
          <t>CONTRIBUTION/UNIT before event</t>
        </is>
      </c>
      <c r="D23" s="90" t="inlineStr">
        <is>
          <t>UNITS NEEDED</t>
        </is>
      </c>
      <c r="E23" s="90" t="inlineStr">
        <is>
          <t>RUNNING AT</t>
        </is>
      </c>
      <c r="F23" s="90" t="inlineStr">
        <is>
          <t>GAP</t>
        </is>
      </c>
    </row>
    <row r="24">
      <c r="A24" t="inlineStr">
        <is>
          <t>historical 37.3%</t>
        </is>
      </c>
      <c r="B24" s="116">
        <f>SUM(UNIT_ECONOMICS!$P$7:$P$37)/31</f>
        <v/>
      </c>
      <c r="C24" s="116">
        <f>(SUM(UNIT_ECONOMICS!$P$7:$P$37)-SUM(UNIT_ECONOMICS!$F$7:$F$37)-SUM(UNIT_ECONOMICS!$F$7:$F$37)*(SHRINK_ACTUAL/(1-SHRINK_ACTUAL))-SUM(UNIT_ECONOMICS!$P$7:$P$37)*FEE_MPESA-SUM(UNIT_ECONOMICS!$P$7:$P$37)*AGENT_RATE)/31</f>
        <v/>
      </c>
      <c r="D24">
        <f>IF($C24&lt;=0,"never — negative before the event cost",ROUND(EVENT_COST/$C24,1))</f>
        <v/>
      </c>
      <c r="E24">
        <f>UNITS_PER_EVENT</f>
        <v/>
      </c>
      <c r="F24">
        <f>IF(ISNUMBER($D24),ROUND($D24-$E24,1),"—")</f>
        <v/>
      </c>
    </row>
    <row r="25">
      <c r="A25" t="inlineStr">
        <is>
          <t>plan 10%</t>
        </is>
      </c>
      <c r="B25" s="116">
        <f>SUM(UNIT_ECONOMICS!$P$7:$P$37)/31</f>
        <v/>
      </c>
      <c r="C25" s="116">
        <f>(SUM(UNIT_ECONOMICS!$P$7:$P$37)-SUM(UNIT_ECONOMICS!$F$7:$F$37)-SUM(UNIT_ECONOMICS!$F$7:$F$37)*(SHRINK_PLAN/(1-SHRINK_PLAN))-SUM(UNIT_ECONOMICS!$P$7:$P$37)*FEE_MPESA-SUM(UNIT_ECONOMICS!$P$7:$P$37)*AGENT_RATE)/31</f>
        <v/>
      </c>
      <c r="D25">
        <f>IF($C25&lt;=0,"never — negative before the event cost",ROUND(EVENT_COST/$C25,1))</f>
        <v/>
      </c>
      <c r="E25">
        <f>UNITS_PER_EVENT</f>
        <v/>
      </c>
      <c r="F25">
        <f>IF(ISNUMBER($D25),ROUND($D25-$E25,1),"—")</f>
        <v/>
      </c>
    </row>
    <row r="26">
      <c r="A26" t="inlineStr">
        <is>
          <t>best case 5%</t>
        </is>
      </c>
      <c r="B26" s="116">
        <f>SUM(UNIT_ECONOMICS!$P$7:$P$37)/31</f>
        <v/>
      </c>
      <c r="C26" s="116">
        <f>(SUM(UNIT_ECONOMICS!$P$7:$P$37)-SUM(UNIT_ECONOMICS!$F$7:$F$37)-SUM(UNIT_ECONOMICS!$F$7:$F$37)*(0.05/(1-0.05))-SUM(UNIT_ECONOMICS!$P$7:$P$37)*FEE_MPESA-SUM(UNIT_ECONOMICS!$P$7:$P$37)*AGENT_RATE)/31</f>
        <v/>
      </c>
      <c r="D26">
        <f>IF($C26&lt;=0,"never — negative before the event cost",ROUND(EVENT_COST/$C26,1))</f>
        <v/>
      </c>
      <c r="E26">
        <f>UNITS_PER_EVENT</f>
        <v/>
      </c>
      <c r="F26">
        <f>IF(ISNUMBER($D26),ROUND($D26-$E26,1),"—")</f>
        <v/>
      </c>
    </row>
    <row r="28">
      <c r="A28" s="92" t="inlineStr">
        <is>
          <t>The activation programme is not a pricing problem.</t>
        </is>
      </c>
    </row>
    <row r="29" ht="44" customHeight="1">
      <c r="A29" s="91" t="inlineStr">
        <is>
          <t>At the historical shrinkage rate a unit is already loss-making before anyone pays for a venue. At a 10% rate it needs about ten units an event; it is running at three. Either the basket triples, the event cost falls, or the channel is for lead generation and should be funded from a marketing budget rather than expected to pay for itself on unit margin.</t>
        </is>
      </c>
    </row>
  </sheetData>
  <mergeCells count="1">
    <mergeCell ref="A29:L29"/>
  </mergeCells>
  <conditionalFormatting sqref="L5:L19">
    <cfRule type="cellIs" priority="1" operator="equal" dxfId="34">
      <formula>"LOSS"</formula>
    </cfRule>
    <cfRule type="cellIs" priority="2" operator="equal" dxfId="37">
      <formula>"THIN"</formula>
    </cfRule>
    <cfRule type="cellIs" priority="3" operator="equal" dxfId="36">
      <formula>"OK"</formula>
    </cfRule>
  </conditionalFormatting>
  <conditionalFormatting sqref="J5:J19">
    <cfRule type="cellIs" priority="4" operator="lessThan" dxfId="34">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13" customWidth="1" min="3" max="3"/>
    <col width="15" customWidth="1" min="4" max="4"/>
    <col width="62" customWidth="1" min="5" max="5"/>
    <col width="13" customWidth="1" min="6" max="6"/>
  </cols>
  <sheetData>
    <row r="1">
      <c r="B1" s="89" t="inlineStr">
        <is>
          <t>CLOSING THE SKU AND PRICE CHAPTER</t>
        </is>
      </c>
    </row>
    <row r="2">
      <c r="B2" t="inlineStr">
        <is>
          <t>Six items. Each has one decision, one owner and one test that proves it closed. Nothing here needs new analysis.</t>
        </is>
      </c>
    </row>
    <row r="4">
      <c r="A4" s="90" t="inlineStr">
        <is>
          <t>No.</t>
        </is>
      </c>
      <c r="B4" s="90" t="inlineStr">
        <is>
          <t>ITEM</t>
        </is>
      </c>
      <c r="C4" s="90" t="inlineStr">
        <is>
          <t>TYPE</t>
        </is>
      </c>
      <c r="D4" s="90" t="inlineStr">
        <is>
          <t>DECIDED BY</t>
        </is>
      </c>
      <c r="E4" s="90" t="inlineStr">
        <is>
          <t>THE DECISION, AND WHAT CLOSES IT</t>
        </is>
      </c>
      <c r="F4" s="90" t="inlineStr">
        <is>
          <t>GATE TEST</t>
        </is>
      </c>
    </row>
    <row r="5" ht="48" customHeight="1">
      <c r="A5" s="91" t="n">
        <v>1</v>
      </c>
      <c r="B5" s="91" t="inlineStr">
        <is>
          <t>Tax status — registered or not</t>
        </is>
      </c>
      <c r="C5" s="91" t="inlineStr">
        <is>
          <t>PARAMETER</t>
        </is>
      </c>
      <c r="D5" s="91" t="inlineStr">
        <is>
          <t>Accountant</t>
        </is>
      </c>
      <c r="E5" s="91" t="inlineStr">
        <is>
          <t>F-9 settles it: bears VAT, does not charge it. GUARDRAILS now carries VAT_REGISTERED = NO and the whole book re-prices from it. CLOSED the moment the accountant confirms in writing; the switch is already built so confirmation changes one cell, not the analysis.</t>
        </is>
      </c>
      <c r="F5" s="91" t="inlineStr">
        <is>
          <t>MULT_RETAIL</t>
        </is>
      </c>
    </row>
    <row r="6" ht="48" customHeight="1">
      <c r="A6" s="91" t="n">
        <v>2</v>
      </c>
      <c r="B6" s="91" t="inlineStr">
        <is>
          <t>Ratify UC-BOG-FCB-028</t>
        </is>
      </c>
      <c r="C6" s="91" t="inlineStr">
        <is>
          <t>ISSUE</t>
        </is>
      </c>
      <c r="D6" s="91" t="inlineStr">
        <is>
          <t>Master / CEO</t>
        </is>
      </c>
      <c r="E6" s="91" t="inlineStr">
        <is>
          <t>Two physically different cartridges share UC-BOG-FCA-015. Say yes to the proposed number and the split is done. Closes when SKU_REGISTRY shows ISSUED instead of PROPOSED.</t>
        </is>
      </c>
      <c r="F6" s="91" t="inlineStr">
        <is>
          <t>G2</t>
        </is>
      </c>
    </row>
    <row r="7" ht="48" customHeight="1">
      <c r="A7" s="91" t="n">
        <v>3</v>
      </c>
      <c r="B7" s="91" t="inlineStr">
        <is>
          <t>Five impossible cost rows</t>
        </is>
      </c>
      <c r="C7" s="91" t="inlineStr">
        <is>
          <t>DATA</t>
        </is>
      </c>
      <c r="D7" s="91" t="inlineStr">
        <is>
          <t>Procurement</t>
        </is>
      </c>
      <c r="E7" s="91" t="inlineStr">
        <is>
          <t>FLB-012, SQB-013, SQB-014, FCS-017, DFS-024 record landed cost BELOW ex-works. One of the two numbers on each row is wrong — check the supplier invoice, correct whichever is wrong. Five lookups.</t>
        </is>
      </c>
      <c r="F7" s="91" t="inlineStr">
        <is>
          <t>G6</t>
        </is>
      </c>
    </row>
    <row r="8" ht="48" customHeight="1">
      <c r="A8" s="91" t="n">
        <v>4</v>
      </c>
      <c r="B8" s="91" t="inlineStr">
        <is>
          <t>Four SKUs with no landed cost</t>
        </is>
      </c>
      <c r="C8" s="91" t="inlineStr">
        <is>
          <t>DATA</t>
        </is>
      </c>
      <c r="D8" s="91" t="inlineStr">
        <is>
          <t>Procurement</t>
        </is>
      </c>
      <c r="E8" s="91" t="inlineStr">
        <is>
          <t>UF-100, DFS-025, DFS-026, ROT-029. Get carton dimensions and ex-works from the supplier; freight then derives itself. Until then the gate correctly holds them out of the catalogue.</t>
        </is>
      </c>
      <c r="F8" s="91" t="inlineStr">
        <is>
          <t>G5</t>
        </is>
      </c>
    </row>
    <row r="9" ht="48" customHeight="1">
      <c r="A9" s="91" t="n">
        <v>5</v>
      </c>
      <c r="B9" s="91" t="inlineStr">
        <is>
          <t>Aqua Stream carton dimensions</t>
        </is>
      </c>
      <c r="C9" s="91" t="inlineStr">
        <is>
          <t>DATA</t>
        </is>
      </c>
      <c r="D9" s="91" t="inlineStr">
        <is>
          <t>Supplier</t>
        </is>
      </c>
      <c r="E9" s="91" t="inlineStr">
        <is>
          <t>Currently on a comparable carton, BASIS = ESTIMATE. Real dimensions move it to DERIVED and will RAISE the freight, because a 1200GPD twin-membrane unit is larger than the 800G it was compared to.</t>
        </is>
      </c>
      <c r="F9" s="91" t="inlineStr">
        <is>
          <t>BASIS</t>
        </is>
      </c>
    </row>
    <row r="10" ht="48" customHeight="1">
      <c r="A10" s="91" t="n">
        <v>6</v>
      </c>
      <c r="B10" s="91" t="inlineStr">
        <is>
          <t>Beauty Faucet Filter</t>
        </is>
      </c>
      <c r="C10" s="91" t="inlineStr">
        <is>
          <t>RULING</t>
        </is>
      </c>
      <c r="D10" s="91" t="inlineStr">
        <is>
          <t>CEO</t>
        </is>
      </c>
      <c r="E10" s="91" t="inlineStr">
        <is>
          <t>Same parent as UC-SKW-DFS-024, or a separate product? One sentence either way.</t>
        </is>
      </c>
      <c r="F10" s="91" t="inlineStr">
        <is>
          <t>G4</t>
        </is>
      </c>
    </row>
    <row r="12">
      <c r="B12" s="92" t="inlineStr">
        <is>
          <t>WHAT "CLOSED" MEANS</t>
        </is>
      </c>
    </row>
    <row r="13" ht="48" customHeight="1">
      <c r="B13" s="91" t="inlineStr">
        <is>
          <t>The chapter is closed when GATE shows zero BLOCKED rows and SKU_REGISTRY shows zero PROPOSED rows. Not when a meeting agrees — when the file says so. Everything above is a data errand or a one-line ruling; none of it needs further analysis, and none of it blocks the unit-economics work.</t>
        </is>
      </c>
    </row>
    <row r="15">
      <c r="B15" s="92" t="inlineStr">
        <is>
          <t>AND ONE CORRECTION I OWE</t>
        </is>
      </c>
    </row>
    <row r="16" ht="62" customHeight="1">
      <c r="B16" s="91" t="inlineStr">
        <is>
          <t>The guardrail shipped on 17 Sep derived MULT_RETAIL = 2.00 from a 1.5660 floor. F-9 (FINAL, 9 Sep 2026) had already settled the floor at 1.35 — the 31 Aug recut had counted VAT twice. MULT_RETAIL is now 1.73 and every price in this file has moved down accordingly, by 13.5%. The method was right; the input was stale, because I did not re-read the development record before building. That is the same failure this project keeps finding: one value living in two places.</t>
        </is>
      </c>
    </row>
  </sheetData>
  <mergeCells count="2">
    <mergeCell ref="B16:F16"/>
    <mergeCell ref="B13:F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9"/>
  <sheetViews>
    <sheetView workbookViewId="0">
      <pane ySplit="4" topLeftCell="A5" activePane="bottomLeft" state="frozen"/>
      <selection pane="bottomLeft" activeCell="A1" sqref="A1"/>
    </sheetView>
  </sheetViews>
  <sheetFormatPr baseColWidth="8" defaultRowHeight="15"/>
  <cols>
    <col width="19" customWidth="1" min="1" max="1"/>
    <col width="22" customWidth="1" min="2" max="2"/>
    <col width="12" customWidth="1" min="3" max="3"/>
    <col width="13" customWidth="1" min="4" max="4"/>
    <col width="13" customWidth="1" min="5" max="5"/>
    <col width="14" customWidth="1" min="6" max="6"/>
    <col width="14" customWidth="1" min="7" max="7"/>
    <col width="14" customWidth="1" min="8" max="8"/>
    <col width="11" customWidth="1" min="9" max="9"/>
    <col width="11" customWidth="1" min="10" max="10"/>
    <col width="11" customWidth="1" min="11" max="11"/>
    <col width="11" customWidth="1" min="12" max="12"/>
    <col width="9" customWidth="1" min="13" max="13"/>
    <col width="9" customWidth="1" min="14" max="14"/>
    <col width="9" customWidth="1" min="15" max="15"/>
    <col width="13" customWidth="1" min="16" max="16"/>
    <col width="46" customWidth="1" min="17" max="17"/>
  </cols>
  <sheetData>
    <row r="1">
      <c r="A1" s="89" t="inlineStr">
        <is>
          <t>GATE — every parent, every rule, live. A product reaches the catalogue only when PUBLISH says GO.</t>
        </is>
      </c>
    </row>
    <row r="2">
      <c r="A2" t="inlineStr">
        <is>
          <t>PRICE_ACTUAL is yours to set. PRICE_MIN is the FLOOR-BINDING minimum (cost x R4_FLOOR / deepest tier). The gate only checks that actual is not BELOW it - judgement may price above it freely. MULT_RETAIL (2.00) is the engine default that lands safely above PRICE_MIN.</t>
        </is>
      </c>
    </row>
    <row r="4">
      <c r="A4" s="90" t="inlineStr">
        <is>
          <t>PARENT_SKU</t>
        </is>
      </c>
      <c r="B4" s="90" t="inlineStr">
        <is>
          <t>MODEL</t>
        </is>
      </c>
      <c r="C4" s="90" t="inlineStr">
        <is>
          <t>STOCK_STATUS</t>
        </is>
      </c>
      <c r="D4" s="90" t="inlineStr">
        <is>
          <t>COST_KES</t>
        </is>
      </c>
      <c r="E4" s="90" t="inlineStr">
        <is>
          <t>COST_BASIS</t>
        </is>
      </c>
      <c r="F4" s="90" t="inlineStr">
        <is>
          <t>PRICE_MIN (floor-binding)</t>
        </is>
      </c>
      <c r="G4" s="90" t="inlineStr">
        <is>
          <t>PRICE_ACTUAL</t>
        </is>
      </c>
      <c r="H4" s="90" t="inlineStr">
        <is>
          <t>HEADROOM</t>
        </is>
      </c>
      <c r="I4" s="90" t="inlineStr">
        <is>
          <t>MAX_DISC</t>
        </is>
      </c>
      <c r="J4" s="90" t="inlineStr">
        <is>
          <t>WHSL_PUB</t>
        </is>
      </c>
      <c r="K4" s="90" t="inlineStr">
        <is>
          <t>CORP_PUB</t>
        </is>
      </c>
      <c r="L4" s="90" t="inlineStr">
        <is>
          <t>INFL_PUB</t>
        </is>
      </c>
      <c r="M4" s="90" t="inlineStr">
        <is>
          <t>G1</t>
        </is>
      </c>
      <c r="N4" s="90" t="inlineStr">
        <is>
          <t>G2</t>
        </is>
      </c>
      <c r="O4" s="90" t="inlineStr">
        <is>
          <t>G5</t>
        </is>
      </c>
      <c r="P4" s="90" t="inlineStr">
        <is>
          <t>G6</t>
        </is>
      </c>
      <c r="Q4" s="90" t="inlineStr">
        <is>
          <t>G7</t>
        </is>
      </c>
      <c r="R4" s="90" t="inlineStr">
        <is>
          <t>G8</t>
        </is>
      </c>
      <c r="S4" s="90" t="inlineStr">
        <is>
          <t>PUBLISH</t>
        </is>
      </c>
      <c r="T4" s="90" t="inlineStr">
        <is>
          <t>WHY NOT</t>
        </is>
      </c>
    </row>
    <row r="5">
      <c r="A5" t="inlineStr">
        <is>
          <t>UC-HOU-PHRO-001</t>
        </is>
      </c>
      <c r="B5">
        <f>IFERROR(INDEX(LANDED_COST_BUILD!$B:$B,MATCH($A5,LANDED_COST_BUILD!$A:$A,0)),"")</f>
        <v/>
      </c>
      <c r="C5">
        <f>IFERROR(INDEX(LANDED_COST_BUILD!$C:$C,MATCH($A5,LANDED_COST_BUILD!$A:$A,0)),"")</f>
        <v/>
      </c>
      <c r="D5">
        <f>IFERROR(IF(INDEX(LANDED_COST_BUILD!$O:$O,MATCH($A5,LANDED_COST_BUILD!$A:$A,0))="","",INDEX(LANDED_COST_BUILD!$O:$O,MATCH($A5,LANDED_COST_BUILD!$A:$A,0))*FX_USD_KES),"")</f>
        <v/>
      </c>
      <c r="E5">
        <f>IFERROR(LEFT(INDEX(LANDED_COST_BUILD!$P:$P,MATCH($A5,LANDED_COST_BUILD!$A:$A,0)),FIND(" ",INDEX(LANDED_COST_BUILD!$P:$P,MATCH($A5,LANDED_COST_BUILD!$A:$A,0))&amp;" ")-1),"")</f>
        <v/>
      </c>
      <c r="F5">
        <f>IF($D5="","",ROUNDUP($D5*R4_FLOOR/MIN_TIER_RATE,0))</f>
        <v/>
      </c>
      <c r="G5">
        <f>IFERROR(INDEX('SKU with PRICES'!$M:$M,MATCH($A5,'SKU with PRICES'!$H:$H,0)),"")</f>
        <v/>
      </c>
      <c r="H5" s="106">
        <f>IF(OR($D5="",$G5=""),"",ROUND($G5/($D5*R4_FLOOR)-1,4))</f>
        <v/>
      </c>
      <c r="I5" s="106">
        <f>IF(OR($D5="",$G5=""),"",MAX(0,1-($D5*R4_FLOOR/$G5)))</f>
        <v/>
      </c>
      <c r="J5">
        <f>IFERROR(INDEX('SKU with PRICES'!$O:$O,MATCH($A5,'SKU with PRICES'!$H:$H,0)),"")</f>
        <v/>
      </c>
      <c r="K5">
        <f>IFERROR(INDEX('SKU with PRICES'!$Q:$Q,MATCH($A5,'SKU with PRICES'!$H:$H,0)),"")</f>
        <v/>
      </c>
      <c r="L5">
        <f>IFERROR(INDEX('SKU with PRICES'!$S:$S,MATCH($A5,'SKU with PRICES'!$H:$H,0)),"")</f>
        <v/>
      </c>
      <c r="M5">
        <f>IF(AND(LEFT($A5,3)="UC-",LEN($A5)&gt;=13),"PASS","FAIL")</f>
        <v/>
      </c>
      <c r="N5">
        <f>IF(COUNTIF($A$5:$A$99,$A5)=1,"PASS","FAIL")</f>
        <v/>
      </c>
      <c r="O5">
        <f>IF($E5="NONE","FAIL",IF($E5="RECORDED","WARN","PASS"))</f>
        <v/>
      </c>
      <c r="P5">
        <f>IFERROR(IF(INDEX(LANDED_COST_BUILD!$O:$O,MATCH($A5,LANDED_COST_BUILD!$A:$A,0))="","n/a",IF(INDEX(LANDED_COST_BUILD!$O:$O,MATCH($A5,LANDED_COST_BUILD!$A:$A,0))&lt;INDEX(LANDED_COST_BUILD!$G:$G,MATCH($A5,LANDED_COST_BUILD!$A:$A,0)),"FAIL","PASS")),"n/a")</f>
        <v/>
      </c>
      <c r="Q5">
        <f>IF(OR($F5="",$G5=""),"n/a",IF($G5&gt;=$F5,"PASS","FAIL"))</f>
        <v/>
      </c>
      <c r="R5">
        <f>IF($D5="","n/a",IF(AND(N($J5)&gt;=$D5*R4_FLOOR,N($K5)&gt;=$D5*R4_FLOOR,N($L5)&gt;=$D5*R4_FLOOR),"PASS","FAIL"))</f>
        <v/>
      </c>
      <c r="S5">
        <f>IF(COUNTIF($M5:$R5,"FAIL")&gt;0,"BLOCKED",IF($D5="","HOLD - no cost","GO"))</f>
        <v/>
      </c>
      <c r="T5">
        <f>IF($S5="GO","",IF($M5="FAIL","SKU format. ","")&amp;IF($N5="FAIL","Duplicate SKU. ","")&amp;IF($P5="FAIL","Landed cost is below ex-works - impossible. ","")&amp;IF($Q5="FAIL","Retail is below the floor-binding minimum. ","")&amp;IF($R5="FAIL","A published discount tier breaches the floor. ","")&amp;IF($D5="","No cost recorded - cannot be gated or published. ",""))</f>
        <v/>
      </c>
    </row>
    <row r="6">
      <c r="A6" t="inlineStr">
        <is>
          <t>UC-HOU-URO-001</t>
        </is>
      </c>
      <c r="B6">
        <f>IFERROR(INDEX(LANDED_COST_BUILD!$B:$B,MATCH($A6,LANDED_COST_BUILD!$A:$A,0)),"")</f>
        <v/>
      </c>
      <c r="C6">
        <f>IFERROR(INDEX(LANDED_COST_BUILD!$C:$C,MATCH($A6,LANDED_COST_BUILD!$A:$A,0)),"")</f>
        <v/>
      </c>
      <c r="D6">
        <f>IFERROR(IF(INDEX(LANDED_COST_BUILD!$O:$O,MATCH($A6,LANDED_COST_BUILD!$A:$A,0))="","",INDEX(LANDED_COST_BUILD!$O:$O,MATCH($A6,LANDED_COST_BUILD!$A:$A,0))*FX_USD_KES),"")</f>
        <v/>
      </c>
      <c r="E6">
        <f>IFERROR(LEFT(INDEX(LANDED_COST_BUILD!$P:$P,MATCH($A6,LANDED_COST_BUILD!$A:$A,0)),FIND(" ",INDEX(LANDED_COST_BUILD!$P:$P,MATCH($A6,LANDED_COST_BUILD!$A:$A,0))&amp;" ")-1),"")</f>
        <v/>
      </c>
      <c r="F6">
        <f>IF($D6="","",ROUNDUP($D6*R4_FLOOR/MIN_TIER_RATE,0))</f>
        <v/>
      </c>
      <c r="G6">
        <f>IFERROR(INDEX('SKU with PRICES'!$M:$M,MATCH($A6,'SKU with PRICES'!$H:$H,0)),"")</f>
        <v/>
      </c>
      <c r="H6" s="106">
        <f>IF(OR($D6="",$G6=""),"",ROUND($G6/($D6*R4_FLOOR)-1,4))</f>
        <v/>
      </c>
      <c r="I6" s="106">
        <f>IF(OR($D6="",$G6=""),"",MAX(0,1-($D6*R4_FLOOR/$G6)))</f>
        <v/>
      </c>
      <c r="J6">
        <f>IFERROR(INDEX('SKU with PRICES'!$O:$O,MATCH($A6,'SKU with PRICES'!$H:$H,0)),"")</f>
        <v/>
      </c>
      <c r="K6">
        <f>IFERROR(INDEX('SKU with PRICES'!$Q:$Q,MATCH($A6,'SKU with PRICES'!$H:$H,0)),"")</f>
        <v/>
      </c>
      <c r="L6">
        <f>IFERROR(INDEX('SKU with PRICES'!$S:$S,MATCH($A6,'SKU with PRICES'!$H:$H,0)),"")</f>
        <v/>
      </c>
      <c r="M6">
        <f>IF(AND(LEFT($A6,3)="UC-",LEN($A6)&gt;=13),"PASS","FAIL")</f>
        <v/>
      </c>
      <c r="N6">
        <f>IF(COUNTIF($A$5:$A$99,$A6)=1,"PASS","FAIL")</f>
        <v/>
      </c>
      <c r="O6">
        <f>IF($E6="NONE","FAIL",IF($E6="RECORDED","WARN","PASS"))</f>
        <v/>
      </c>
      <c r="P6">
        <f>IFERROR(IF(INDEX(LANDED_COST_BUILD!$O:$O,MATCH($A6,LANDED_COST_BUILD!$A:$A,0))="","n/a",IF(INDEX(LANDED_COST_BUILD!$O:$O,MATCH($A6,LANDED_COST_BUILD!$A:$A,0))&lt;INDEX(LANDED_COST_BUILD!$G:$G,MATCH($A6,LANDED_COST_BUILD!$A:$A,0)),"FAIL","PASS")),"n/a")</f>
        <v/>
      </c>
      <c r="Q6">
        <f>IF(OR($F6="",$G6=""),"n/a",IF($G6&gt;=$F6,"PASS","FAIL"))</f>
        <v/>
      </c>
      <c r="R6">
        <f>IF($D6="","n/a",IF(AND(N($J6)&gt;=$D6*R4_FLOOR,N($K6)&gt;=$D6*R4_FLOOR,N($L6)&gt;=$D6*R4_FLOOR),"PASS","FAIL"))</f>
        <v/>
      </c>
      <c r="S6">
        <f>IF(COUNTIF($M6:$R6,"FAIL")&gt;0,"BLOCKED",IF($D6="","HOLD - no cost","GO"))</f>
        <v/>
      </c>
      <c r="T6">
        <f>IF($S6="GO","",IF($M6="FAIL","SKU format. ","")&amp;IF($N6="FAIL","Duplicate SKU. ","")&amp;IF($P6="FAIL","Landed cost is below ex-works - impossible. ","")&amp;IF($Q6="FAIL","Retail is below the floor-binding minimum. ","")&amp;IF($R6="FAIL","A published discount tier breaches the floor. ","")&amp;IF($D6="","No cost recorded - cannot be gated or published. ",""))</f>
        <v/>
      </c>
    </row>
    <row r="7">
      <c r="A7" t="inlineStr">
        <is>
          <t>UC-HOU-URO-002</t>
        </is>
      </c>
      <c r="B7">
        <f>IFERROR(INDEX(LANDED_COST_BUILD!$B:$B,MATCH($A7,LANDED_COST_BUILD!$A:$A,0)),"")</f>
        <v/>
      </c>
      <c r="C7">
        <f>IFERROR(INDEX(LANDED_COST_BUILD!$C:$C,MATCH($A7,LANDED_COST_BUILD!$A:$A,0)),"")</f>
        <v/>
      </c>
      <c r="D7">
        <f>IFERROR(IF(INDEX(LANDED_COST_BUILD!$O:$O,MATCH($A7,LANDED_COST_BUILD!$A:$A,0))="","",INDEX(LANDED_COST_BUILD!$O:$O,MATCH($A7,LANDED_COST_BUILD!$A:$A,0))*FX_USD_KES),"")</f>
        <v/>
      </c>
      <c r="E7">
        <f>IFERROR(LEFT(INDEX(LANDED_COST_BUILD!$P:$P,MATCH($A7,LANDED_COST_BUILD!$A:$A,0)),FIND(" ",INDEX(LANDED_COST_BUILD!$P:$P,MATCH($A7,LANDED_COST_BUILD!$A:$A,0))&amp;" ")-1),"")</f>
        <v/>
      </c>
      <c r="F7">
        <f>IF($D7="","",ROUNDUP($D7*R4_FLOOR/MIN_TIER_RATE,0))</f>
        <v/>
      </c>
      <c r="G7">
        <f>IFERROR(INDEX('SKU with PRICES'!$M:$M,MATCH($A7,'SKU with PRICES'!$H:$H,0)),"")</f>
        <v/>
      </c>
      <c r="H7" s="106">
        <f>IF(OR($D7="",$G7=""),"",ROUND($G7/($D7*R4_FLOOR)-1,4))</f>
        <v/>
      </c>
      <c r="I7" s="106">
        <f>IF(OR($D7="",$G7=""),"",MAX(0,1-($D7*R4_FLOOR/$G7)))</f>
        <v/>
      </c>
      <c r="J7">
        <f>IFERROR(INDEX('SKU with PRICES'!$O:$O,MATCH($A7,'SKU with PRICES'!$H:$H,0)),"")</f>
        <v/>
      </c>
      <c r="K7">
        <f>IFERROR(INDEX('SKU with PRICES'!$Q:$Q,MATCH($A7,'SKU with PRICES'!$H:$H,0)),"")</f>
        <v/>
      </c>
      <c r="L7">
        <f>IFERROR(INDEX('SKU with PRICES'!$S:$S,MATCH($A7,'SKU with PRICES'!$H:$H,0)),"")</f>
        <v/>
      </c>
      <c r="M7">
        <f>IF(AND(LEFT($A7,3)="UC-",LEN($A7)&gt;=13),"PASS","FAIL")</f>
        <v/>
      </c>
      <c r="N7">
        <f>IF(COUNTIF($A$5:$A$99,$A7)=1,"PASS","FAIL")</f>
        <v/>
      </c>
      <c r="O7">
        <f>IF($E7="NONE","FAIL",IF($E7="RECORDED","WARN","PASS"))</f>
        <v/>
      </c>
      <c r="P7">
        <f>IFERROR(IF(INDEX(LANDED_COST_BUILD!$O:$O,MATCH($A7,LANDED_COST_BUILD!$A:$A,0))="","n/a",IF(INDEX(LANDED_COST_BUILD!$O:$O,MATCH($A7,LANDED_COST_BUILD!$A:$A,0))&lt;INDEX(LANDED_COST_BUILD!$G:$G,MATCH($A7,LANDED_COST_BUILD!$A:$A,0)),"FAIL","PASS")),"n/a")</f>
        <v/>
      </c>
      <c r="Q7">
        <f>IF(OR($F7="",$G7=""),"n/a",IF($G7&gt;=$F7,"PASS","FAIL"))</f>
        <v/>
      </c>
      <c r="R7">
        <f>IF($D7="","n/a",IF(AND(N($J7)&gt;=$D7*R4_FLOOR,N($K7)&gt;=$D7*R4_FLOOR,N($L7)&gt;=$D7*R4_FLOOR),"PASS","FAIL"))</f>
        <v/>
      </c>
      <c r="S7">
        <f>IF(COUNTIF($M7:$R7,"FAIL")&gt;0,"BLOCKED",IF($D7="","HOLD - no cost","GO"))</f>
        <v/>
      </c>
      <c r="T7">
        <f>IF($S7="GO","",IF($M7="FAIL","SKU format. ","")&amp;IF($N7="FAIL","Duplicate SKU. ","")&amp;IF($P7="FAIL","Landed cost is below ex-works - impossible. ","")&amp;IF($Q7="FAIL","Retail is below the floor-binding minimum. ","")&amp;IF($R7="FAIL","A published discount tier breaches the floor. ","")&amp;IF($D7="","No cost recorded - cannot be gated or published. ",""))</f>
        <v/>
      </c>
    </row>
    <row r="8">
      <c r="A8" t="inlineStr">
        <is>
          <t>UC-HOU-ROS-001</t>
        </is>
      </c>
      <c r="B8">
        <f>IFERROR(INDEX(LANDED_COST_BUILD!$B:$B,MATCH($A8,LANDED_COST_BUILD!$A:$A,0)),"")</f>
        <v/>
      </c>
      <c r="C8">
        <f>IFERROR(INDEX(LANDED_COST_BUILD!$C:$C,MATCH($A8,LANDED_COST_BUILD!$A:$A,0)),"")</f>
        <v/>
      </c>
      <c r="D8">
        <f>IFERROR(IF(INDEX(LANDED_COST_BUILD!$O:$O,MATCH($A8,LANDED_COST_BUILD!$A:$A,0))="","",INDEX(LANDED_COST_BUILD!$O:$O,MATCH($A8,LANDED_COST_BUILD!$A:$A,0))*FX_USD_KES),"")</f>
        <v/>
      </c>
      <c r="E8">
        <f>IFERROR(LEFT(INDEX(LANDED_COST_BUILD!$P:$P,MATCH($A8,LANDED_COST_BUILD!$A:$A,0)),FIND(" ",INDEX(LANDED_COST_BUILD!$P:$P,MATCH($A8,LANDED_COST_BUILD!$A:$A,0))&amp;" ")-1),"")</f>
        <v/>
      </c>
      <c r="F8">
        <f>IF($D8="","",ROUNDUP($D8*R4_FLOOR/MIN_TIER_RATE,0))</f>
        <v/>
      </c>
      <c r="G8">
        <f>IFERROR(INDEX('SKU with PRICES'!$M:$M,MATCH($A8,'SKU with PRICES'!$H:$H,0)),"")</f>
        <v/>
      </c>
      <c r="H8" s="106">
        <f>IF(OR($D8="",$G8=""),"",ROUND($G8/($D8*R4_FLOOR)-1,4))</f>
        <v/>
      </c>
      <c r="I8" s="106">
        <f>IF(OR($D8="",$G8=""),"",MAX(0,1-($D8*R4_FLOOR/$G8)))</f>
        <v/>
      </c>
      <c r="J8">
        <f>IFERROR(INDEX('SKU with PRICES'!$O:$O,MATCH($A8,'SKU with PRICES'!$H:$H,0)),"")</f>
        <v/>
      </c>
      <c r="K8">
        <f>IFERROR(INDEX('SKU with PRICES'!$Q:$Q,MATCH($A8,'SKU with PRICES'!$H:$H,0)),"")</f>
        <v/>
      </c>
      <c r="L8">
        <f>IFERROR(INDEX('SKU with PRICES'!$S:$S,MATCH($A8,'SKU with PRICES'!$H:$H,0)),"")</f>
        <v/>
      </c>
      <c r="M8">
        <f>IF(AND(LEFT($A8,3)="UC-",LEN($A8)&gt;=13),"PASS","FAIL")</f>
        <v/>
      </c>
      <c r="N8">
        <f>IF(COUNTIF($A$5:$A$99,$A8)=1,"PASS","FAIL")</f>
        <v/>
      </c>
      <c r="O8">
        <f>IF($E8="NONE","FAIL",IF($E8="RECORDED","WARN","PASS"))</f>
        <v/>
      </c>
      <c r="P8">
        <f>IFERROR(IF(INDEX(LANDED_COST_BUILD!$O:$O,MATCH($A8,LANDED_COST_BUILD!$A:$A,0))="","n/a",IF(INDEX(LANDED_COST_BUILD!$O:$O,MATCH($A8,LANDED_COST_BUILD!$A:$A,0))&lt;INDEX(LANDED_COST_BUILD!$G:$G,MATCH($A8,LANDED_COST_BUILD!$A:$A,0)),"FAIL","PASS")),"n/a")</f>
        <v/>
      </c>
      <c r="Q8">
        <f>IF(OR($F8="",$G8=""),"n/a",IF($G8&gt;=$F8,"PASS","FAIL"))</f>
        <v/>
      </c>
      <c r="R8">
        <f>IF($D8="","n/a",IF(AND(N($J8)&gt;=$D8*R4_FLOOR,N($K8)&gt;=$D8*R4_FLOOR,N($L8)&gt;=$D8*R4_FLOOR),"PASS","FAIL"))</f>
        <v/>
      </c>
      <c r="S8">
        <f>IF(COUNTIF($M8:$R8,"FAIL")&gt;0,"BLOCKED",IF($D8="","HOLD - no cost","GO"))</f>
        <v/>
      </c>
      <c r="T8">
        <f>IF($S8="GO","",IF($M8="FAIL","SKU format. ","")&amp;IF($N8="FAIL","Duplicate SKU. ","")&amp;IF($P8="FAIL","Landed cost is below ex-works - impossible. ","")&amp;IF($Q8="FAIL","Retail is below the floor-binding minimum. ","")&amp;IF($R8="FAIL","A published discount tier breaches the floor. ","")&amp;IF($D8="","No cost recorded - cannot be gated or published. ",""))</f>
        <v/>
      </c>
    </row>
    <row r="9">
      <c r="A9" t="inlineStr">
        <is>
          <t>UC-COM-ROS-002</t>
        </is>
      </c>
      <c r="B9">
        <f>IFERROR(INDEX(LANDED_COST_BUILD!$B:$B,MATCH($A9,LANDED_COST_BUILD!$A:$A,0)),"")</f>
        <v/>
      </c>
      <c r="C9">
        <f>IFERROR(INDEX(LANDED_COST_BUILD!$C:$C,MATCH($A9,LANDED_COST_BUILD!$A:$A,0)),"")</f>
        <v/>
      </c>
      <c r="D9">
        <f>IFERROR(IF(INDEX(LANDED_COST_BUILD!$O:$O,MATCH($A9,LANDED_COST_BUILD!$A:$A,0))="","",INDEX(LANDED_COST_BUILD!$O:$O,MATCH($A9,LANDED_COST_BUILD!$A:$A,0))*FX_USD_KES),"")</f>
        <v/>
      </c>
      <c r="E9">
        <f>IFERROR(LEFT(INDEX(LANDED_COST_BUILD!$P:$P,MATCH($A9,LANDED_COST_BUILD!$A:$A,0)),FIND(" ",INDEX(LANDED_COST_BUILD!$P:$P,MATCH($A9,LANDED_COST_BUILD!$A:$A,0))&amp;" ")-1),"")</f>
        <v/>
      </c>
      <c r="F9">
        <f>IF($D9="","",ROUNDUP($D9*R4_FLOOR/MIN_TIER_RATE,0))</f>
        <v/>
      </c>
      <c r="G9">
        <f>IFERROR(INDEX('SKU with PRICES'!$M:$M,MATCH($A9,'SKU with PRICES'!$H:$H,0)),"")</f>
        <v/>
      </c>
      <c r="H9" s="106">
        <f>IF(OR($D9="",$G9=""),"",ROUND($G9/($D9*R4_FLOOR)-1,4))</f>
        <v/>
      </c>
      <c r="I9" s="106">
        <f>IF(OR($D9="",$G9=""),"",MAX(0,1-($D9*R4_FLOOR/$G9)))</f>
        <v/>
      </c>
      <c r="J9">
        <f>IFERROR(INDEX('SKU with PRICES'!$O:$O,MATCH($A9,'SKU with PRICES'!$H:$H,0)),"")</f>
        <v/>
      </c>
      <c r="K9">
        <f>IFERROR(INDEX('SKU with PRICES'!$Q:$Q,MATCH($A9,'SKU with PRICES'!$H:$H,0)),"")</f>
        <v/>
      </c>
      <c r="L9">
        <f>IFERROR(INDEX('SKU with PRICES'!$S:$S,MATCH($A9,'SKU with PRICES'!$H:$H,0)),"")</f>
        <v/>
      </c>
      <c r="M9">
        <f>IF(AND(LEFT($A9,3)="UC-",LEN($A9)&gt;=13),"PASS","FAIL")</f>
        <v/>
      </c>
      <c r="N9">
        <f>IF(COUNTIF($A$5:$A$99,$A9)=1,"PASS","FAIL")</f>
        <v/>
      </c>
      <c r="O9">
        <f>IF($E9="NONE","FAIL",IF($E9="RECORDED","WARN","PASS"))</f>
        <v/>
      </c>
      <c r="P9">
        <f>IFERROR(IF(INDEX(LANDED_COST_BUILD!$O:$O,MATCH($A9,LANDED_COST_BUILD!$A:$A,0))="","n/a",IF(INDEX(LANDED_COST_BUILD!$O:$O,MATCH($A9,LANDED_COST_BUILD!$A:$A,0))&lt;INDEX(LANDED_COST_BUILD!$G:$G,MATCH($A9,LANDED_COST_BUILD!$A:$A,0)),"FAIL","PASS")),"n/a")</f>
        <v/>
      </c>
      <c r="Q9">
        <f>IF(OR($F9="",$G9=""),"n/a",IF($G9&gt;=$F9,"PASS","FAIL"))</f>
        <v/>
      </c>
      <c r="R9">
        <f>IF($D9="","n/a",IF(AND(N($J9)&gt;=$D9*R4_FLOOR,N($K9)&gt;=$D9*R4_FLOOR,N($L9)&gt;=$D9*R4_FLOOR),"PASS","FAIL"))</f>
        <v/>
      </c>
      <c r="S9">
        <f>IF(COUNTIF($M9:$R9,"FAIL")&gt;0,"BLOCKED",IF($D9="","HOLD - no cost","GO"))</f>
        <v/>
      </c>
      <c r="T9">
        <f>IF($S9="GO","",IF($M9="FAIL","SKU format. ","")&amp;IF($N9="FAIL","Duplicate SKU. ","")&amp;IF($P9="FAIL","Landed cost is below ex-works - impossible. ","")&amp;IF($Q9="FAIL","Retail is below the floor-binding minimum. ","")&amp;IF($R9="FAIL","A published discount tier breaches the floor. ","")&amp;IF($D9="","No cost recorded - cannot be gated or published. ",""))</f>
        <v/>
      </c>
    </row>
    <row r="10">
      <c r="A10" t="inlineStr">
        <is>
          <t>UC-HOU-WPF-003</t>
        </is>
      </c>
      <c r="B10">
        <f>IFERROR(INDEX(LANDED_COST_BUILD!$B:$B,MATCH($A10,LANDED_COST_BUILD!$A:$A,0)),"")</f>
        <v/>
      </c>
      <c r="C10">
        <f>IFERROR(INDEX(LANDED_COST_BUILD!$C:$C,MATCH($A10,LANDED_COST_BUILD!$A:$A,0)),"")</f>
        <v/>
      </c>
      <c r="D10">
        <f>IFERROR(IF(INDEX(LANDED_COST_BUILD!$O:$O,MATCH($A10,LANDED_COST_BUILD!$A:$A,0))="","",INDEX(LANDED_COST_BUILD!$O:$O,MATCH($A10,LANDED_COST_BUILD!$A:$A,0))*FX_USD_KES),"")</f>
        <v/>
      </c>
      <c r="E10">
        <f>IFERROR(LEFT(INDEX(LANDED_COST_BUILD!$P:$P,MATCH($A10,LANDED_COST_BUILD!$A:$A,0)),FIND(" ",INDEX(LANDED_COST_BUILD!$P:$P,MATCH($A10,LANDED_COST_BUILD!$A:$A,0))&amp;" ")-1),"")</f>
        <v/>
      </c>
      <c r="F10">
        <f>IF($D10="","",ROUNDUP($D10*R4_FLOOR/MIN_TIER_RATE,0))</f>
        <v/>
      </c>
      <c r="G10">
        <f>IFERROR(INDEX('SKU with PRICES'!$M:$M,MATCH($A10,'SKU with PRICES'!$H:$H,0)),"")</f>
        <v/>
      </c>
      <c r="H10" s="106">
        <f>IF(OR($D10="",$G10=""),"",ROUND($G10/($D10*R4_FLOOR)-1,4))</f>
        <v/>
      </c>
      <c r="I10" s="106">
        <f>IF(OR($D10="",$G10=""),"",MAX(0,1-($D10*R4_FLOOR/$G10)))</f>
        <v/>
      </c>
      <c r="J10">
        <f>IFERROR(INDEX('SKU with PRICES'!$O:$O,MATCH($A10,'SKU with PRICES'!$H:$H,0)),"")</f>
        <v/>
      </c>
      <c r="K10">
        <f>IFERROR(INDEX('SKU with PRICES'!$Q:$Q,MATCH($A10,'SKU with PRICES'!$H:$H,0)),"")</f>
        <v/>
      </c>
      <c r="L10">
        <f>IFERROR(INDEX('SKU with PRICES'!$S:$S,MATCH($A10,'SKU with PRICES'!$H:$H,0)),"")</f>
        <v/>
      </c>
      <c r="M10">
        <f>IF(AND(LEFT($A10,3)="UC-",LEN($A10)&gt;=13),"PASS","FAIL")</f>
        <v/>
      </c>
      <c r="N10">
        <f>IF(COUNTIF($A$5:$A$99,$A10)=1,"PASS","FAIL")</f>
        <v/>
      </c>
      <c r="O10">
        <f>IF($E10="NONE","FAIL",IF($E10="RECORDED","WARN","PASS"))</f>
        <v/>
      </c>
      <c r="P10">
        <f>IFERROR(IF(INDEX(LANDED_COST_BUILD!$O:$O,MATCH($A10,LANDED_COST_BUILD!$A:$A,0))="","n/a",IF(INDEX(LANDED_COST_BUILD!$O:$O,MATCH($A10,LANDED_COST_BUILD!$A:$A,0))&lt;INDEX(LANDED_COST_BUILD!$G:$G,MATCH($A10,LANDED_COST_BUILD!$A:$A,0)),"FAIL","PASS")),"n/a")</f>
        <v/>
      </c>
      <c r="Q10">
        <f>IF(OR($F10="",$G10=""),"n/a",IF($G10&gt;=$F10,"PASS","FAIL"))</f>
        <v/>
      </c>
      <c r="R10">
        <f>IF($D10="","n/a",IF(AND(N($J10)&gt;=$D10*R4_FLOOR,N($K10)&gt;=$D10*R4_FLOOR,N($L10)&gt;=$D10*R4_FLOOR),"PASS","FAIL"))</f>
        <v/>
      </c>
      <c r="S10">
        <f>IF(COUNTIF($M10:$R10,"FAIL")&gt;0,"BLOCKED",IF($D10="","HOLD - no cost","GO"))</f>
        <v/>
      </c>
      <c r="T10">
        <f>IF($S10="GO","",IF($M10="FAIL","SKU format. ","")&amp;IF($N10="FAIL","Duplicate SKU. ","")&amp;IF($P10="FAIL","Landed cost is below ex-works - impossible. ","")&amp;IF($Q10="FAIL","Retail is below the floor-binding minimum. ","")&amp;IF($R10="FAIL","A published discount tier breaches the floor. ","")&amp;IF($D10="","No cost recorded - cannot be gated or published. ",""))</f>
        <v/>
      </c>
    </row>
    <row r="11">
      <c r="A11" t="inlineStr">
        <is>
          <t>UC-HOU-USF-004</t>
        </is>
      </c>
      <c r="B11">
        <f>IFERROR(INDEX(LANDED_COST_BUILD!$B:$B,MATCH($A11,LANDED_COST_BUILD!$A:$A,0)),"")</f>
        <v/>
      </c>
      <c r="C11">
        <f>IFERROR(INDEX(LANDED_COST_BUILD!$C:$C,MATCH($A11,LANDED_COST_BUILD!$A:$A,0)),"")</f>
        <v/>
      </c>
      <c r="D11">
        <f>IFERROR(IF(INDEX(LANDED_COST_BUILD!$O:$O,MATCH($A11,LANDED_COST_BUILD!$A:$A,0))="","",INDEX(LANDED_COST_BUILD!$O:$O,MATCH($A11,LANDED_COST_BUILD!$A:$A,0))*FX_USD_KES),"")</f>
        <v/>
      </c>
      <c r="E11">
        <f>IFERROR(LEFT(INDEX(LANDED_COST_BUILD!$P:$P,MATCH($A11,LANDED_COST_BUILD!$A:$A,0)),FIND(" ",INDEX(LANDED_COST_BUILD!$P:$P,MATCH($A11,LANDED_COST_BUILD!$A:$A,0))&amp;" ")-1),"")</f>
        <v/>
      </c>
      <c r="F11">
        <f>IF($D11="","",ROUNDUP($D11*R4_FLOOR/MIN_TIER_RATE,0))</f>
        <v/>
      </c>
      <c r="G11">
        <f>IFERROR(INDEX('SKU with PRICES'!$M:$M,MATCH($A11,'SKU with PRICES'!$H:$H,0)),"")</f>
        <v/>
      </c>
      <c r="H11" s="106">
        <f>IF(OR($D11="",$G11=""),"",ROUND($G11/($D11*R4_FLOOR)-1,4))</f>
        <v/>
      </c>
      <c r="I11" s="106">
        <f>IF(OR($D11="",$G11=""),"",MAX(0,1-($D11*R4_FLOOR/$G11)))</f>
        <v/>
      </c>
      <c r="J11">
        <f>IFERROR(INDEX('SKU with PRICES'!$O:$O,MATCH($A11,'SKU with PRICES'!$H:$H,0)),"")</f>
        <v/>
      </c>
      <c r="K11">
        <f>IFERROR(INDEX('SKU with PRICES'!$Q:$Q,MATCH($A11,'SKU with PRICES'!$H:$H,0)),"")</f>
        <v/>
      </c>
      <c r="L11">
        <f>IFERROR(INDEX('SKU with PRICES'!$S:$S,MATCH($A11,'SKU with PRICES'!$H:$H,0)),"")</f>
        <v/>
      </c>
      <c r="M11">
        <f>IF(AND(LEFT($A11,3)="UC-",LEN($A11)&gt;=13),"PASS","FAIL")</f>
        <v/>
      </c>
      <c r="N11">
        <f>IF(COUNTIF($A$5:$A$99,$A11)=1,"PASS","FAIL")</f>
        <v/>
      </c>
      <c r="O11">
        <f>IF($E11="NONE","FAIL",IF($E11="RECORDED","WARN","PASS"))</f>
        <v/>
      </c>
      <c r="P11">
        <f>IFERROR(IF(INDEX(LANDED_COST_BUILD!$O:$O,MATCH($A11,LANDED_COST_BUILD!$A:$A,0))="","n/a",IF(INDEX(LANDED_COST_BUILD!$O:$O,MATCH($A11,LANDED_COST_BUILD!$A:$A,0))&lt;INDEX(LANDED_COST_BUILD!$G:$G,MATCH($A11,LANDED_COST_BUILD!$A:$A,0)),"FAIL","PASS")),"n/a")</f>
        <v/>
      </c>
      <c r="Q11">
        <f>IF(OR($F11="",$G11=""),"n/a",IF($G11&gt;=$F11,"PASS","FAIL"))</f>
        <v/>
      </c>
      <c r="R11">
        <f>IF($D11="","n/a",IF(AND(N($J11)&gt;=$D11*R4_FLOOR,N($K11)&gt;=$D11*R4_FLOOR,N($L11)&gt;=$D11*R4_FLOOR),"PASS","FAIL"))</f>
        <v/>
      </c>
      <c r="S11">
        <f>IF(COUNTIF($M11:$R11,"FAIL")&gt;0,"BLOCKED",IF($D11="","HOLD - no cost","GO"))</f>
        <v/>
      </c>
      <c r="T11">
        <f>IF($S11="GO","",IF($M11="FAIL","SKU format. ","")&amp;IF($N11="FAIL","Duplicate SKU. ","")&amp;IF($P11="FAIL","Landed cost is below ex-works - impossible. ","")&amp;IF($Q11="FAIL","Retail is below the floor-binding minimum. ","")&amp;IF($R11="FAIL","A published discount tier breaches the floor. ","")&amp;IF($D11="","No cost recorded - cannot be gated or published. ",""))</f>
        <v/>
      </c>
    </row>
    <row r="12">
      <c r="A12" t="inlineStr">
        <is>
          <t>UC-HOU-TAP-005</t>
        </is>
      </c>
      <c r="B12">
        <f>IFERROR(INDEX(LANDED_COST_BUILD!$B:$B,MATCH($A12,LANDED_COST_BUILD!$A:$A,0)),"")</f>
        <v/>
      </c>
      <c r="C12">
        <f>IFERROR(INDEX(LANDED_COST_BUILD!$C:$C,MATCH($A12,LANDED_COST_BUILD!$A:$A,0)),"")</f>
        <v/>
      </c>
      <c r="D12">
        <f>IFERROR(IF(INDEX(LANDED_COST_BUILD!$O:$O,MATCH($A12,LANDED_COST_BUILD!$A:$A,0))="","",INDEX(LANDED_COST_BUILD!$O:$O,MATCH($A12,LANDED_COST_BUILD!$A:$A,0))*FX_USD_KES),"")</f>
        <v/>
      </c>
      <c r="E12">
        <f>IFERROR(LEFT(INDEX(LANDED_COST_BUILD!$P:$P,MATCH($A12,LANDED_COST_BUILD!$A:$A,0)),FIND(" ",INDEX(LANDED_COST_BUILD!$P:$P,MATCH($A12,LANDED_COST_BUILD!$A:$A,0))&amp;" ")-1),"")</f>
        <v/>
      </c>
      <c r="F12">
        <f>IF($D12="","",ROUNDUP($D12*R4_FLOOR/MIN_TIER_RATE,0))</f>
        <v/>
      </c>
      <c r="G12">
        <f>IFERROR(INDEX('SKU with PRICES'!$M:$M,MATCH($A12,'SKU with PRICES'!$H:$H,0)),"")</f>
        <v/>
      </c>
      <c r="H12" s="106">
        <f>IF(OR($D12="",$G12=""),"",ROUND($G12/($D12*R4_FLOOR)-1,4))</f>
        <v/>
      </c>
      <c r="I12" s="106">
        <f>IF(OR($D12="",$G12=""),"",MAX(0,1-($D12*R4_FLOOR/$G12)))</f>
        <v/>
      </c>
      <c r="J12">
        <f>IFERROR(INDEX('SKU with PRICES'!$O:$O,MATCH($A12,'SKU with PRICES'!$H:$H,0)),"")</f>
        <v/>
      </c>
      <c r="K12">
        <f>IFERROR(INDEX('SKU with PRICES'!$Q:$Q,MATCH($A12,'SKU with PRICES'!$H:$H,0)),"")</f>
        <v/>
      </c>
      <c r="L12">
        <f>IFERROR(INDEX('SKU with PRICES'!$S:$S,MATCH($A12,'SKU with PRICES'!$H:$H,0)),"")</f>
        <v/>
      </c>
      <c r="M12">
        <f>IF(AND(LEFT($A12,3)="UC-",LEN($A12)&gt;=13),"PASS","FAIL")</f>
        <v/>
      </c>
      <c r="N12">
        <f>IF(COUNTIF($A$5:$A$99,$A12)=1,"PASS","FAIL")</f>
        <v/>
      </c>
      <c r="O12">
        <f>IF($E12="NONE","FAIL",IF($E12="RECORDED","WARN","PASS"))</f>
        <v/>
      </c>
      <c r="P12">
        <f>IFERROR(IF(INDEX(LANDED_COST_BUILD!$O:$O,MATCH($A12,LANDED_COST_BUILD!$A:$A,0))="","n/a",IF(INDEX(LANDED_COST_BUILD!$O:$O,MATCH($A12,LANDED_COST_BUILD!$A:$A,0))&lt;INDEX(LANDED_COST_BUILD!$G:$G,MATCH($A12,LANDED_COST_BUILD!$A:$A,0)),"FAIL","PASS")),"n/a")</f>
        <v/>
      </c>
      <c r="Q12">
        <f>IF(OR($F12="",$G12=""),"n/a",IF($G12&gt;=$F12,"PASS","FAIL"))</f>
        <v/>
      </c>
      <c r="R12">
        <f>IF($D12="","n/a",IF(AND(N($J12)&gt;=$D12*R4_FLOOR,N($K12)&gt;=$D12*R4_FLOOR,N($L12)&gt;=$D12*R4_FLOOR),"PASS","FAIL"))</f>
        <v/>
      </c>
      <c r="S12">
        <f>IF(COUNTIF($M12:$R12,"FAIL")&gt;0,"BLOCKED",IF($D12="","HOLD - no cost","GO"))</f>
        <v/>
      </c>
      <c r="T12">
        <f>IF($S12="GO","",IF($M12="FAIL","SKU format. ","")&amp;IF($N12="FAIL","Duplicate SKU. ","")&amp;IF($P12="FAIL","Landed cost is below ex-works - impossible. ","")&amp;IF($Q12="FAIL","Retail is below the floor-binding minimum. ","")&amp;IF($R12="FAIL","A published discount tier breaches the floor. ","")&amp;IF($D12="","No cost recorded - cannot be gated or published. ",""))</f>
        <v/>
      </c>
    </row>
    <row r="13">
      <c r="A13" t="inlineStr">
        <is>
          <t>UC-HOU-TAPF-006</t>
        </is>
      </c>
      <c r="B13">
        <f>IFERROR(INDEX(LANDED_COST_BUILD!$B:$B,MATCH($A13,LANDED_COST_BUILD!$A:$A,0)),"")</f>
        <v/>
      </c>
      <c r="C13">
        <f>IFERROR(INDEX(LANDED_COST_BUILD!$C:$C,MATCH($A13,LANDED_COST_BUILD!$A:$A,0)),"")</f>
        <v/>
      </c>
      <c r="D13">
        <f>IFERROR(IF(INDEX(LANDED_COST_BUILD!$O:$O,MATCH($A13,LANDED_COST_BUILD!$A:$A,0))="","",INDEX(LANDED_COST_BUILD!$O:$O,MATCH($A13,LANDED_COST_BUILD!$A:$A,0))*FX_USD_KES),"")</f>
        <v/>
      </c>
      <c r="E13">
        <f>IFERROR(LEFT(INDEX(LANDED_COST_BUILD!$P:$P,MATCH($A13,LANDED_COST_BUILD!$A:$A,0)),FIND(" ",INDEX(LANDED_COST_BUILD!$P:$P,MATCH($A13,LANDED_COST_BUILD!$A:$A,0))&amp;" ")-1),"")</f>
        <v/>
      </c>
      <c r="F13">
        <f>IF($D13="","",ROUNDUP($D13*R4_FLOOR/MIN_TIER_RATE,0))</f>
        <v/>
      </c>
      <c r="G13">
        <f>IFERROR(INDEX('SKU with PRICES'!$M:$M,MATCH($A13,'SKU with PRICES'!$H:$H,0)),"")</f>
        <v/>
      </c>
      <c r="H13" s="106">
        <f>IF(OR($D13="",$G13=""),"",ROUND($G13/($D13*R4_FLOOR)-1,4))</f>
        <v/>
      </c>
      <c r="I13" s="106">
        <f>IF(OR($D13="",$G13=""),"",MAX(0,1-($D13*R4_FLOOR/$G13)))</f>
        <v/>
      </c>
      <c r="J13">
        <f>IFERROR(INDEX('SKU with PRICES'!$O:$O,MATCH($A13,'SKU with PRICES'!$H:$H,0)),"")</f>
        <v/>
      </c>
      <c r="K13">
        <f>IFERROR(INDEX('SKU with PRICES'!$Q:$Q,MATCH($A13,'SKU with PRICES'!$H:$H,0)),"")</f>
        <v/>
      </c>
      <c r="L13">
        <f>IFERROR(INDEX('SKU with PRICES'!$S:$S,MATCH($A13,'SKU with PRICES'!$H:$H,0)),"")</f>
        <v/>
      </c>
      <c r="M13">
        <f>IF(AND(LEFT($A13,3)="UC-",LEN($A13)&gt;=13),"PASS","FAIL")</f>
        <v/>
      </c>
      <c r="N13">
        <f>IF(COUNTIF($A$5:$A$99,$A13)=1,"PASS","FAIL")</f>
        <v/>
      </c>
      <c r="O13">
        <f>IF($E13="NONE","FAIL",IF($E13="RECORDED","WARN","PASS"))</f>
        <v/>
      </c>
      <c r="P13">
        <f>IFERROR(IF(INDEX(LANDED_COST_BUILD!$O:$O,MATCH($A13,LANDED_COST_BUILD!$A:$A,0))="","n/a",IF(INDEX(LANDED_COST_BUILD!$O:$O,MATCH($A13,LANDED_COST_BUILD!$A:$A,0))&lt;INDEX(LANDED_COST_BUILD!$G:$G,MATCH($A13,LANDED_COST_BUILD!$A:$A,0)),"FAIL","PASS")),"n/a")</f>
        <v/>
      </c>
      <c r="Q13">
        <f>IF(OR($F13="",$G13=""),"n/a",IF($G13&gt;=$F13,"PASS","FAIL"))</f>
        <v/>
      </c>
      <c r="R13">
        <f>IF($D13="","n/a",IF(AND(N($J13)&gt;=$D13*R4_FLOOR,N($K13)&gt;=$D13*R4_FLOOR,N($L13)&gt;=$D13*R4_FLOOR),"PASS","FAIL"))</f>
        <v/>
      </c>
      <c r="S13">
        <f>IF(COUNTIF($M13:$R13,"FAIL")&gt;0,"BLOCKED",IF($D13="","HOLD - no cost","GO"))</f>
        <v/>
      </c>
      <c r="T13">
        <f>IF($S13="GO","",IF($M13="FAIL","SKU format. ","")&amp;IF($N13="FAIL","Duplicate SKU. ","")&amp;IF($P13="FAIL","Landed cost is below ex-works - impossible. ","")&amp;IF($Q13="FAIL","Retail is below the floor-binding minimum. ","")&amp;IF($R13="FAIL","A published discount tier breaches the floor. ","")&amp;IF($D13="","No cost recorded - cannot be gated or published. ",""))</f>
        <v/>
      </c>
    </row>
    <row r="14">
      <c r="A14" t="inlineStr">
        <is>
          <t>UC-HOU-WDFS-006</t>
        </is>
      </c>
      <c r="B14">
        <f>IFERROR(INDEX(LANDED_COST_BUILD!$B:$B,MATCH($A14,LANDED_COST_BUILD!$A:$A,0)),"")</f>
        <v/>
      </c>
      <c r="C14">
        <f>IFERROR(INDEX(LANDED_COST_BUILD!$C:$C,MATCH($A14,LANDED_COST_BUILD!$A:$A,0)),"")</f>
        <v/>
      </c>
      <c r="D14">
        <f>IFERROR(IF(INDEX(LANDED_COST_BUILD!$O:$O,MATCH($A14,LANDED_COST_BUILD!$A:$A,0))="","",INDEX(LANDED_COST_BUILD!$O:$O,MATCH($A14,LANDED_COST_BUILD!$A:$A,0))*FX_USD_KES),"")</f>
        <v/>
      </c>
      <c r="E14">
        <f>IFERROR(LEFT(INDEX(LANDED_COST_BUILD!$P:$P,MATCH($A14,LANDED_COST_BUILD!$A:$A,0)),FIND(" ",INDEX(LANDED_COST_BUILD!$P:$P,MATCH($A14,LANDED_COST_BUILD!$A:$A,0))&amp;" ")-1),"")</f>
        <v/>
      </c>
      <c r="F14">
        <f>IF($D14="","",ROUNDUP($D14*R4_FLOOR/MIN_TIER_RATE,0))</f>
        <v/>
      </c>
      <c r="G14">
        <f>IFERROR(INDEX('SKU with PRICES'!$M:$M,MATCH($A14,'SKU with PRICES'!$H:$H,0)),"")</f>
        <v/>
      </c>
      <c r="H14" s="106">
        <f>IF(OR($D14="",$G14=""),"",ROUND($G14/($D14*R4_FLOOR)-1,4))</f>
        <v/>
      </c>
      <c r="I14" s="106">
        <f>IF(OR($D14="",$G14=""),"",MAX(0,1-($D14*R4_FLOOR/$G14)))</f>
        <v/>
      </c>
      <c r="J14">
        <f>IFERROR(INDEX('SKU with PRICES'!$O:$O,MATCH($A14,'SKU with PRICES'!$H:$H,0)),"")</f>
        <v/>
      </c>
      <c r="K14">
        <f>IFERROR(INDEX('SKU with PRICES'!$Q:$Q,MATCH($A14,'SKU with PRICES'!$H:$H,0)),"")</f>
        <v/>
      </c>
      <c r="L14">
        <f>IFERROR(INDEX('SKU with PRICES'!$S:$S,MATCH($A14,'SKU with PRICES'!$H:$H,0)),"")</f>
        <v/>
      </c>
      <c r="M14">
        <f>IF(AND(LEFT($A14,3)="UC-",LEN($A14)&gt;=13),"PASS","FAIL")</f>
        <v/>
      </c>
      <c r="N14">
        <f>IF(COUNTIF($A$5:$A$99,$A14)=1,"PASS","FAIL")</f>
        <v/>
      </c>
      <c r="O14">
        <f>IF($E14="NONE","FAIL",IF($E14="RECORDED","WARN","PASS"))</f>
        <v/>
      </c>
      <c r="P14">
        <f>IFERROR(IF(INDEX(LANDED_COST_BUILD!$O:$O,MATCH($A14,LANDED_COST_BUILD!$A:$A,0))="","n/a",IF(INDEX(LANDED_COST_BUILD!$O:$O,MATCH($A14,LANDED_COST_BUILD!$A:$A,0))&lt;INDEX(LANDED_COST_BUILD!$G:$G,MATCH($A14,LANDED_COST_BUILD!$A:$A,0)),"FAIL","PASS")),"n/a")</f>
        <v/>
      </c>
      <c r="Q14">
        <f>IF(OR($F14="",$G14=""),"n/a",IF($G14&gt;=$F14,"PASS","FAIL"))</f>
        <v/>
      </c>
      <c r="R14">
        <f>IF($D14="","n/a",IF(AND(N($J14)&gt;=$D14*R4_FLOOR,N($K14)&gt;=$D14*R4_FLOOR,N($L14)&gt;=$D14*R4_FLOOR),"PASS","FAIL"))</f>
        <v/>
      </c>
      <c r="S14">
        <f>IF(COUNTIF($M14:$R14,"FAIL")&gt;0,"BLOCKED",IF($D14="","HOLD - no cost","GO"))</f>
        <v/>
      </c>
      <c r="T14">
        <f>IF($S14="GO","",IF($M14="FAIL","SKU format. ","")&amp;IF($N14="FAIL","Duplicate SKU. ","")&amp;IF($P14="FAIL","Landed cost is below ex-works - impossible. ","")&amp;IF($Q14="FAIL","Retail is below the floor-binding minimum. ","")&amp;IF($R14="FAIL","A published discount tier breaches the floor. ","")&amp;IF($D14="","No cost recorded - cannot be gated or published. ",""))</f>
        <v/>
      </c>
    </row>
    <row r="15">
      <c r="A15" t="inlineStr">
        <is>
          <t>UC-HOU-DF-007</t>
        </is>
      </c>
      <c r="B15">
        <f>IFERROR(INDEX(LANDED_COST_BUILD!$B:$B,MATCH($A15,LANDED_COST_BUILD!$A:$A,0)),"")</f>
        <v/>
      </c>
      <c r="C15">
        <f>IFERROR(INDEX(LANDED_COST_BUILD!$C:$C,MATCH($A15,LANDED_COST_BUILD!$A:$A,0)),"")</f>
        <v/>
      </c>
      <c r="D15">
        <f>IFERROR(IF(INDEX(LANDED_COST_BUILD!$O:$O,MATCH($A15,LANDED_COST_BUILD!$A:$A,0))="","",INDEX(LANDED_COST_BUILD!$O:$O,MATCH($A15,LANDED_COST_BUILD!$A:$A,0))*FX_USD_KES),"")</f>
        <v/>
      </c>
      <c r="E15">
        <f>IFERROR(LEFT(INDEX(LANDED_COST_BUILD!$P:$P,MATCH($A15,LANDED_COST_BUILD!$A:$A,0)),FIND(" ",INDEX(LANDED_COST_BUILD!$P:$P,MATCH($A15,LANDED_COST_BUILD!$A:$A,0))&amp;" ")-1),"")</f>
        <v/>
      </c>
      <c r="F15">
        <f>IF($D15="","",ROUNDUP($D15*R4_FLOOR/MIN_TIER_RATE,0))</f>
        <v/>
      </c>
      <c r="G15">
        <f>IFERROR(INDEX('SKU with PRICES'!$M:$M,MATCH($A15,'SKU with PRICES'!$H:$H,0)),"")</f>
        <v/>
      </c>
      <c r="H15" s="106">
        <f>IF(OR($D15="",$G15=""),"",ROUND($G15/($D15*R4_FLOOR)-1,4))</f>
        <v/>
      </c>
      <c r="I15" s="106">
        <f>IF(OR($D15="",$G15=""),"",MAX(0,1-($D15*R4_FLOOR/$G15)))</f>
        <v/>
      </c>
      <c r="J15">
        <f>IFERROR(INDEX('SKU with PRICES'!$O:$O,MATCH($A15,'SKU with PRICES'!$H:$H,0)),"")</f>
        <v/>
      </c>
      <c r="K15">
        <f>IFERROR(INDEX('SKU with PRICES'!$Q:$Q,MATCH($A15,'SKU with PRICES'!$H:$H,0)),"")</f>
        <v/>
      </c>
      <c r="L15">
        <f>IFERROR(INDEX('SKU with PRICES'!$S:$S,MATCH($A15,'SKU with PRICES'!$H:$H,0)),"")</f>
        <v/>
      </c>
      <c r="M15">
        <f>IF(AND(LEFT($A15,3)="UC-",LEN($A15)&gt;=13),"PASS","FAIL")</f>
        <v/>
      </c>
      <c r="N15">
        <f>IF(COUNTIF($A$5:$A$99,$A15)=1,"PASS","FAIL")</f>
        <v/>
      </c>
      <c r="O15">
        <f>IF($E15="NONE","FAIL",IF($E15="RECORDED","WARN","PASS"))</f>
        <v/>
      </c>
      <c r="P15">
        <f>IFERROR(IF(INDEX(LANDED_COST_BUILD!$O:$O,MATCH($A15,LANDED_COST_BUILD!$A:$A,0))="","n/a",IF(INDEX(LANDED_COST_BUILD!$O:$O,MATCH($A15,LANDED_COST_BUILD!$A:$A,0))&lt;INDEX(LANDED_COST_BUILD!$G:$G,MATCH($A15,LANDED_COST_BUILD!$A:$A,0)),"FAIL","PASS")),"n/a")</f>
        <v/>
      </c>
      <c r="Q15">
        <f>IF(OR($F15="",$G15=""),"n/a",IF($G15&gt;=$F15,"PASS","FAIL"))</f>
        <v/>
      </c>
      <c r="R15">
        <f>IF($D15="","n/a",IF(AND(N($J15)&gt;=$D15*R4_FLOOR,N($K15)&gt;=$D15*R4_FLOOR,N($L15)&gt;=$D15*R4_FLOOR),"PASS","FAIL"))</f>
        <v/>
      </c>
      <c r="S15">
        <f>IF(COUNTIF($M15:$R15,"FAIL")&gt;0,"BLOCKED",IF($D15="","HOLD - no cost","GO"))</f>
        <v/>
      </c>
      <c r="T15">
        <f>IF($S15="GO","",IF($M15="FAIL","SKU format. ","")&amp;IF($N15="FAIL","Duplicate SKU. ","")&amp;IF($P15="FAIL","Landed cost is below ex-works - impossible. ","")&amp;IF($Q15="FAIL","Retail is below the floor-binding minimum. ","")&amp;IF($R15="FAIL","A published discount tier breaches the floor. ","")&amp;IF($D15="","No cost recorded - cannot be gated or published. ",""))</f>
        <v/>
      </c>
    </row>
    <row r="16">
      <c r="A16" t="inlineStr">
        <is>
          <t>UC-BOG-SSB-008</t>
        </is>
      </c>
      <c r="B16">
        <f>IFERROR(INDEX(LANDED_COST_BUILD!$B:$B,MATCH($A16,LANDED_COST_BUILD!$A:$A,0)),"")</f>
        <v/>
      </c>
      <c r="C16">
        <f>IFERROR(INDEX(LANDED_COST_BUILD!$C:$C,MATCH($A16,LANDED_COST_BUILD!$A:$A,0)),"")</f>
        <v/>
      </c>
      <c r="D16">
        <f>IFERROR(IF(INDEX(LANDED_COST_BUILD!$O:$O,MATCH($A16,LANDED_COST_BUILD!$A:$A,0))="","",INDEX(LANDED_COST_BUILD!$O:$O,MATCH($A16,LANDED_COST_BUILD!$A:$A,0))*FX_USD_KES),"")</f>
        <v/>
      </c>
      <c r="E16">
        <f>IFERROR(LEFT(INDEX(LANDED_COST_BUILD!$P:$P,MATCH($A16,LANDED_COST_BUILD!$A:$A,0)),FIND(" ",INDEX(LANDED_COST_BUILD!$P:$P,MATCH($A16,LANDED_COST_BUILD!$A:$A,0))&amp;" ")-1),"")</f>
        <v/>
      </c>
      <c r="F16">
        <f>IF($D16="","",ROUNDUP($D16*R4_FLOOR/MIN_TIER_RATE,0))</f>
        <v/>
      </c>
      <c r="G16">
        <f>IFERROR(INDEX('SKU with PRICES'!$M:$M,MATCH($A16,'SKU with PRICES'!$H:$H,0)),"")</f>
        <v/>
      </c>
      <c r="H16" s="106">
        <f>IF(OR($D16="",$G16=""),"",ROUND($G16/($D16*R4_FLOOR)-1,4))</f>
        <v/>
      </c>
      <c r="I16" s="106">
        <f>IF(OR($D16="",$G16=""),"",MAX(0,1-($D16*R4_FLOOR/$G16)))</f>
        <v/>
      </c>
      <c r="J16">
        <f>IFERROR(INDEX('SKU with PRICES'!$O:$O,MATCH($A16,'SKU with PRICES'!$H:$H,0)),"")</f>
        <v/>
      </c>
      <c r="K16">
        <f>IFERROR(INDEX('SKU with PRICES'!$Q:$Q,MATCH($A16,'SKU with PRICES'!$H:$H,0)),"")</f>
        <v/>
      </c>
      <c r="L16">
        <f>IFERROR(INDEX('SKU with PRICES'!$S:$S,MATCH($A16,'SKU with PRICES'!$H:$H,0)),"")</f>
        <v/>
      </c>
      <c r="M16">
        <f>IF(AND(LEFT($A16,3)="UC-",LEN($A16)&gt;=13),"PASS","FAIL")</f>
        <v/>
      </c>
      <c r="N16">
        <f>IF(COUNTIF($A$5:$A$99,$A16)=1,"PASS","FAIL")</f>
        <v/>
      </c>
      <c r="O16">
        <f>IF($E16="NONE","FAIL",IF($E16="RECORDED","WARN","PASS"))</f>
        <v/>
      </c>
      <c r="P16">
        <f>IFERROR(IF(INDEX(LANDED_COST_BUILD!$O:$O,MATCH($A16,LANDED_COST_BUILD!$A:$A,0))="","n/a",IF(INDEX(LANDED_COST_BUILD!$O:$O,MATCH($A16,LANDED_COST_BUILD!$A:$A,0))&lt;INDEX(LANDED_COST_BUILD!$G:$G,MATCH($A16,LANDED_COST_BUILD!$A:$A,0)),"FAIL","PASS")),"n/a")</f>
        <v/>
      </c>
      <c r="Q16">
        <f>IF(OR($F16="",$G16=""),"n/a",IF($G16&gt;=$F16,"PASS","FAIL"))</f>
        <v/>
      </c>
      <c r="R16">
        <f>IF($D16="","n/a",IF(AND(N($J16)&gt;=$D16*R4_FLOOR,N($K16)&gt;=$D16*R4_FLOOR,N($L16)&gt;=$D16*R4_FLOOR),"PASS","FAIL"))</f>
        <v/>
      </c>
      <c r="S16">
        <f>IF(COUNTIF($M16:$R16,"FAIL")&gt;0,"BLOCKED",IF($D16="","HOLD - no cost","GO"))</f>
        <v/>
      </c>
      <c r="T16">
        <f>IF($S16="GO","",IF($M16="FAIL","SKU format. ","")&amp;IF($N16="FAIL","Duplicate SKU. ","")&amp;IF($P16="FAIL","Landed cost is below ex-works - impossible. ","")&amp;IF($Q16="FAIL","Retail is below the floor-binding minimum. ","")&amp;IF($R16="FAIL","A published discount tier breaches the floor. ","")&amp;IF($D16="","No cost recorded - cannot be gated or published. ",""))</f>
        <v/>
      </c>
    </row>
    <row r="17">
      <c r="A17" t="inlineStr">
        <is>
          <t>UC-BOG-TRB-009</t>
        </is>
      </c>
      <c r="B17">
        <f>IFERROR(INDEX(LANDED_COST_BUILD!$B:$B,MATCH($A17,LANDED_COST_BUILD!$A:$A,0)),"")</f>
        <v/>
      </c>
      <c r="C17">
        <f>IFERROR(INDEX(LANDED_COST_BUILD!$C:$C,MATCH($A17,LANDED_COST_BUILD!$A:$A,0)),"")</f>
        <v/>
      </c>
      <c r="D17">
        <f>IFERROR(IF(INDEX(LANDED_COST_BUILD!$O:$O,MATCH($A17,LANDED_COST_BUILD!$A:$A,0))="","",INDEX(LANDED_COST_BUILD!$O:$O,MATCH($A17,LANDED_COST_BUILD!$A:$A,0))*FX_USD_KES),"")</f>
        <v/>
      </c>
      <c r="E17">
        <f>IFERROR(LEFT(INDEX(LANDED_COST_BUILD!$P:$P,MATCH($A17,LANDED_COST_BUILD!$A:$A,0)),FIND(" ",INDEX(LANDED_COST_BUILD!$P:$P,MATCH($A17,LANDED_COST_BUILD!$A:$A,0))&amp;" ")-1),"")</f>
        <v/>
      </c>
      <c r="F17">
        <f>IF($D17="","",ROUNDUP($D17*R4_FLOOR/MIN_TIER_RATE,0))</f>
        <v/>
      </c>
      <c r="G17">
        <f>IFERROR(INDEX('SKU with PRICES'!$M:$M,MATCH($A17,'SKU with PRICES'!$H:$H,0)),"")</f>
        <v/>
      </c>
      <c r="H17" s="106">
        <f>IF(OR($D17="",$G17=""),"",ROUND($G17/($D17*R4_FLOOR)-1,4))</f>
        <v/>
      </c>
      <c r="I17" s="106">
        <f>IF(OR($D17="",$G17=""),"",MAX(0,1-($D17*R4_FLOOR/$G17)))</f>
        <v/>
      </c>
      <c r="J17">
        <f>IFERROR(INDEX('SKU with PRICES'!$O:$O,MATCH($A17,'SKU with PRICES'!$H:$H,0)),"")</f>
        <v/>
      </c>
      <c r="K17">
        <f>IFERROR(INDEX('SKU with PRICES'!$Q:$Q,MATCH($A17,'SKU with PRICES'!$H:$H,0)),"")</f>
        <v/>
      </c>
      <c r="L17">
        <f>IFERROR(INDEX('SKU with PRICES'!$S:$S,MATCH($A17,'SKU with PRICES'!$H:$H,0)),"")</f>
        <v/>
      </c>
      <c r="M17">
        <f>IF(AND(LEFT($A17,3)="UC-",LEN($A17)&gt;=13),"PASS","FAIL")</f>
        <v/>
      </c>
      <c r="N17">
        <f>IF(COUNTIF($A$5:$A$99,$A17)=1,"PASS","FAIL")</f>
        <v/>
      </c>
      <c r="O17">
        <f>IF($E17="NONE","FAIL",IF($E17="RECORDED","WARN","PASS"))</f>
        <v/>
      </c>
      <c r="P17">
        <f>IFERROR(IF(INDEX(LANDED_COST_BUILD!$O:$O,MATCH($A17,LANDED_COST_BUILD!$A:$A,0))="","n/a",IF(INDEX(LANDED_COST_BUILD!$O:$O,MATCH($A17,LANDED_COST_BUILD!$A:$A,0))&lt;INDEX(LANDED_COST_BUILD!$G:$G,MATCH($A17,LANDED_COST_BUILD!$A:$A,0)),"FAIL","PASS")),"n/a")</f>
        <v/>
      </c>
      <c r="Q17">
        <f>IF(OR($F17="",$G17=""),"n/a",IF($G17&gt;=$F17,"PASS","FAIL"))</f>
        <v/>
      </c>
      <c r="R17">
        <f>IF($D17="","n/a",IF(AND(N($J17)&gt;=$D17*R4_FLOOR,N($K17)&gt;=$D17*R4_FLOOR,N($L17)&gt;=$D17*R4_FLOOR),"PASS","FAIL"))</f>
        <v/>
      </c>
      <c r="S17">
        <f>IF(COUNTIF($M17:$R17,"FAIL")&gt;0,"BLOCKED",IF($D17="","HOLD - no cost","GO"))</f>
        <v/>
      </c>
      <c r="T17">
        <f>IF($S17="GO","",IF($M17="FAIL","SKU format. ","")&amp;IF($N17="FAIL","Duplicate SKU. ","")&amp;IF($P17="FAIL","Landed cost is below ex-works - impossible. ","")&amp;IF($Q17="FAIL","Retail is below the floor-binding minimum. ","")&amp;IF($R17="FAIL","A published discount tier breaches the floor. ","")&amp;IF($D17="","No cost recorded - cannot be gated or published. ",""))</f>
        <v/>
      </c>
    </row>
    <row r="18">
      <c r="A18" t="inlineStr">
        <is>
          <t>UC-BOG-TRB-010</t>
        </is>
      </c>
      <c r="B18">
        <f>IFERROR(INDEX(LANDED_COST_BUILD!$B:$B,MATCH($A18,LANDED_COST_BUILD!$A:$A,0)),"")</f>
        <v/>
      </c>
      <c r="C18">
        <f>IFERROR(INDEX(LANDED_COST_BUILD!$C:$C,MATCH($A18,LANDED_COST_BUILD!$A:$A,0)),"")</f>
        <v/>
      </c>
      <c r="D18">
        <f>IFERROR(IF(INDEX(LANDED_COST_BUILD!$O:$O,MATCH($A18,LANDED_COST_BUILD!$A:$A,0))="","",INDEX(LANDED_COST_BUILD!$O:$O,MATCH($A18,LANDED_COST_BUILD!$A:$A,0))*FX_USD_KES),"")</f>
        <v/>
      </c>
      <c r="E18">
        <f>IFERROR(LEFT(INDEX(LANDED_COST_BUILD!$P:$P,MATCH($A18,LANDED_COST_BUILD!$A:$A,0)),FIND(" ",INDEX(LANDED_COST_BUILD!$P:$P,MATCH($A18,LANDED_COST_BUILD!$A:$A,0))&amp;" ")-1),"")</f>
        <v/>
      </c>
      <c r="F18">
        <f>IF($D18="","",ROUNDUP($D18*R4_FLOOR/MIN_TIER_RATE,0))</f>
        <v/>
      </c>
      <c r="G18">
        <f>IFERROR(INDEX('SKU with PRICES'!$M:$M,MATCH($A18,'SKU with PRICES'!$H:$H,0)),"")</f>
        <v/>
      </c>
      <c r="H18" s="106">
        <f>IF(OR($D18="",$G18=""),"",ROUND($G18/($D18*R4_FLOOR)-1,4))</f>
        <v/>
      </c>
      <c r="I18" s="106">
        <f>IF(OR($D18="",$G18=""),"",MAX(0,1-($D18*R4_FLOOR/$G18)))</f>
        <v/>
      </c>
      <c r="J18">
        <f>IFERROR(INDEX('SKU with PRICES'!$O:$O,MATCH($A18,'SKU with PRICES'!$H:$H,0)),"")</f>
        <v/>
      </c>
      <c r="K18">
        <f>IFERROR(INDEX('SKU with PRICES'!$Q:$Q,MATCH($A18,'SKU with PRICES'!$H:$H,0)),"")</f>
        <v/>
      </c>
      <c r="L18">
        <f>IFERROR(INDEX('SKU with PRICES'!$S:$S,MATCH($A18,'SKU with PRICES'!$H:$H,0)),"")</f>
        <v/>
      </c>
      <c r="M18">
        <f>IF(AND(LEFT($A18,3)="UC-",LEN($A18)&gt;=13),"PASS","FAIL")</f>
        <v/>
      </c>
      <c r="N18">
        <f>IF(COUNTIF($A$5:$A$99,$A18)=1,"PASS","FAIL")</f>
        <v/>
      </c>
      <c r="O18">
        <f>IF($E18="NONE","FAIL",IF($E18="RECORDED","WARN","PASS"))</f>
        <v/>
      </c>
      <c r="P18">
        <f>IFERROR(IF(INDEX(LANDED_COST_BUILD!$O:$O,MATCH($A18,LANDED_COST_BUILD!$A:$A,0))="","n/a",IF(INDEX(LANDED_COST_BUILD!$O:$O,MATCH($A18,LANDED_COST_BUILD!$A:$A,0))&lt;INDEX(LANDED_COST_BUILD!$G:$G,MATCH($A18,LANDED_COST_BUILD!$A:$A,0)),"FAIL","PASS")),"n/a")</f>
        <v/>
      </c>
      <c r="Q18">
        <f>IF(OR($F18="",$G18=""),"n/a",IF($G18&gt;=$F18,"PASS","FAIL"))</f>
        <v/>
      </c>
      <c r="R18">
        <f>IF($D18="","n/a",IF(AND(N($J18)&gt;=$D18*R4_FLOOR,N($K18)&gt;=$D18*R4_FLOOR,N($L18)&gt;=$D18*R4_FLOOR),"PASS","FAIL"))</f>
        <v/>
      </c>
      <c r="S18">
        <f>IF(COUNTIF($M18:$R18,"FAIL")&gt;0,"BLOCKED",IF($D18="","HOLD - no cost","GO"))</f>
        <v/>
      </c>
      <c r="T18">
        <f>IF($S18="GO","",IF($M18="FAIL","SKU format. ","")&amp;IF($N18="FAIL","Duplicate SKU. ","")&amp;IF($P18="FAIL","Landed cost is below ex-works - impossible. ","")&amp;IF($Q18="FAIL","Retail is below the floor-binding minimum. ","")&amp;IF($R18="FAIL","A published discount tier breaches the floor. ","")&amp;IF($D18="","No cost recorded - cannot be gated or published. ",""))</f>
        <v/>
      </c>
    </row>
    <row r="19">
      <c r="A19" t="inlineStr">
        <is>
          <t>UC-BOG-TRB-011</t>
        </is>
      </c>
      <c r="B19">
        <f>IFERROR(INDEX(LANDED_COST_BUILD!$B:$B,MATCH($A19,LANDED_COST_BUILD!$A:$A,0)),"")</f>
        <v/>
      </c>
      <c r="C19">
        <f>IFERROR(INDEX(LANDED_COST_BUILD!$C:$C,MATCH($A19,LANDED_COST_BUILD!$A:$A,0)),"")</f>
        <v/>
      </c>
      <c r="D19">
        <f>IFERROR(IF(INDEX(LANDED_COST_BUILD!$O:$O,MATCH($A19,LANDED_COST_BUILD!$A:$A,0))="","",INDEX(LANDED_COST_BUILD!$O:$O,MATCH($A19,LANDED_COST_BUILD!$A:$A,0))*FX_USD_KES),"")</f>
        <v/>
      </c>
      <c r="E19">
        <f>IFERROR(LEFT(INDEX(LANDED_COST_BUILD!$P:$P,MATCH($A19,LANDED_COST_BUILD!$A:$A,0)),FIND(" ",INDEX(LANDED_COST_BUILD!$P:$P,MATCH($A19,LANDED_COST_BUILD!$A:$A,0))&amp;" ")-1),"")</f>
        <v/>
      </c>
      <c r="F19">
        <f>IF($D19="","",ROUNDUP($D19*R4_FLOOR/MIN_TIER_RATE,0))</f>
        <v/>
      </c>
      <c r="G19">
        <f>IFERROR(INDEX('SKU with PRICES'!$M:$M,MATCH($A19,'SKU with PRICES'!$H:$H,0)),"")</f>
        <v/>
      </c>
      <c r="H19" s="106">
        <f>IF(OR($D19="",$G19=""),"",ROUND($G19/($D19*R4_FLOOR)-1,4))</f>
        <v/>
      </c>
      <c r="I19" s="106">
        <f>IF(OR($D19="",$G19=""),"",MAX(0,1-($D19*R4_FLOOR/$G19)))</f>
        <v/>
      </c>
      <c r="J19">
        <f>IFERROR(INDEX('SKU with PRICES'!$O:$O,MATCH($A19,'SKU with PRICES'!$H:$H,0)),"")</f>
        <v/>
      </c>
      <c r="K19">
        <f>IFERROR(INDEX('SKU with PRICES'!$Q:$Q,MATCH($A19,'SKU with PRICES'!$H:$H,0)),"")</f>
        <v/>
      </c>
      <c r="L19">
        <f>IFERROR(INDEX('SKU with PRICES'!$S:$S,MATCH($A19,'SKU with PRICES'!$H:$H,0)),"")</f>
        <v/>
      </c>
      <c r="M19">
        <f>IF(AND(LEFT($A19,3)="UC-",LEN($A19)&gt;=13),"PASS","FAIL")</f>
        <v/>
      </c>
      <c r="N19">
        <f>IF(COUNTIF($A$5:$A$99,$A19)=1,"PASS","FAIL")</f>
        <v/>
      </c>
      <c r="O19">
        <f>IF($E19="NONE","FAIL",IF($E19="RECORDED","WARN","PASS"))</f>
        <v/>
      </c>
      <c r="P19">
        <f>IFERROR(IF(INDEX(LANDED_COST_BUILD!$O:$O,MATCH($A19,LANDED_COST_BUILD!$A:$A,0))="","n/a",IF(INDEX(LANDED_COST_BUILD!$O:$O,MATCH($A19,LANDED_COST_BUILD!$A:$A,0))&lt;INDEX(LANDED_COST_BUILD!$G:$G,MATCH($A19,LANDED_COST_BUILD!$A:$A,0)),"FAIL","PASS")),"n/a")</f>
        <v/>
      </c>
      <c r="Q19">
        <f>IF(OR($F19="",$G19=""),"n/a",IF($G19&gt;=$F19,"PASS","FAIL"))</f>
        <v/>
      </c>
      <c r="R19">
        <f>IF($D19="","n/a",IF(AND(N($J19)&gt;=$D19*R4_FLOOR,N($K19)&gt;=$D19*R4_FLOOR,N($L19)&gt;=$D19*R4_FLOOR),"PASS","FAIL"))</f>
        <v/>
      </c>
      <c r="S19">
        <f>IF(COUNTIF($M19:$R19,"FAIL")&gt;0,"BLOCKED",IF($D19="","HOLD - no cost","GO"))</f>
        <v/>
      </c>
      <c r="T19">
        <f>IF($S19="GO","",IF($M19="FAIL","SKU format. ","")&amp;IF($N19="FAIL","Duplicate SKU. ","")&amp;IF($P19="FAIL","Landed cost is below ex-works - impossible. ","")&amp;IF($Q19="FAIL","Retail is below the floor-binding minimum. ","")&amp;IF($R19="FAIL","A published discount tier breaches the floor. ","")&amp;IF($D19="","No cost recorded - cannot be gated or published. ",""))</f>
        <v/>
      </c>
    </row>
    <row r="20">
      <c r="A20" t="inlineStr">
        <is>
          <t>UC-BOG-FLB-012</t>
        </is>
      </c>
      <c r="B20">
        <f>IFERROR(INDEX(LANDED_COST_BUILD!$B:$B,MATCH($A20,LANDED_COST_BUILD!$A:$A,0)),"")</f>
        <v/>
      </c>
      <c r="C20">
        <f>IFERROR(INDEX(LANDED_COST_BUILD!$C:$C,MATCH($A20,LANDED_COST_BUILD!$A:$A,0)),"")</f>
        <v/>
      </c>
      <c r="D20">
        <f>IFERROR(IF(INDEX(LANDED_COST_BUILD!$O:$O,MATCH($A20,LANDED_COST_BUILD!$A:$A,0))="","",INDEX(LANDED_COST_BUILD!$O:$O,MATCH($A20,LANDED_COST_BUILD!$A:$A,0))*FX_USD_KES),"")</f>
        <v/>
      </c>
      <c r="E20">
        <f>IFERROR(LEFT(INDEX(LANDED_COST_BUILD!$P:$P,MATCH($A20,LANDED_COST_BUILD!$A:$A,0)),FIND(" ",INDEX(LANDED_COST_BUILD!$P:$P,MATCH($A20,LANDED_COST_BUILD!$A:$A,0))&amp;" ")-1),"")</f>
        <v/>
      </c>
      <c r="F20">
        <f>IF($D20="","",ROUNDUP($D20*R4_FLOOR/MIN_TIER_RATE,0))</f>
        <v/>
      </c>
      <c r="G20">
        <f>IFERROR(INDEX('SKU with PRICES'!$M:$M,MATCH($A20,'SKU with PRICES'!$H:$H,0)),"")</f>
        <v/>
      </c>
      <c r="H20" s="106">
        <f>IF(OR($D20="",$G20=""),"",ROUND($G20/($D20*R4_FLOOR)-1,4))</f>
        <v/>
      </c>
      <c r="I20" s="106">
        <f>IF(OR($D20="",$G20=""),"",MAX(0,1-($D20*R4_FLOOR/$G20)))</f>
        <v/>
      </c>
      <c r="J20">
        <f>IFERROR(INDEX('SKU with PRICES'!$O:$O,MATCH($A20,'SKU with PRICES'!$H:$H,0)),"")</f>
        <v/>
      </c>
      <c r="K20">
        <f>IFERROR(INDEX('SKU with PRICES'!$Q:$Q,MATCH($A20,'SKU with PRICES'!$H:$H,0)),"")</f>
        <v/>
      </c>
      <c r="L20">
        <f>IFERROR(INDEX('SKU with PRICES'!$S:$S,MATCH($A20,'SKU with PRICES'!$H:$H,0)),"")</f>
        <v/>
      </c>
      <c r="M20">
        <f>IF(AND(LEFT($A20,3)="UC-",LEN($A20)&gt;=13),"PASS","FAIL")</f>
        <v/>
      </c>
      <c r="N20">
        <f>IF(COUNTIF($A$5:$A$99,$A20)=1,"PASS","FAIL")</f>
        <v/>
      </c>
      <c r="O20">
        <f>IF($E20="NONE","FAIL",IF($E20="RECORDED","WARN","PASS"))</f>
        <v/>
      </c>
      <c r="P20">
        <f>IFERROR(IF(INDEX(LANDED_COST_BUILD!$O:$O,MATCH($A20,LANDED_COST_BUILD!$A:$A,0))="","n/a",IF(INDEX(LANDED_COST_BUILD!$O:$O,MATCH($A20,LANDED_COST_BUILD!$A:$A,0))&lt;INDEX(LANDED_COST_BUILD!$G:$G,MATCH($A20,LANDED_COST_BUILD!$A:$A,0)),"FAIL","PASS")),"n/a")</f>
        <v/>
      </c>
      <c r="Q20">
        <f>IF(OR($F20="",$G20=""),"n/a",IF($G20&gt;=$F20,"PASS","FAIL"))</f>
        <v/>
      </c>
      <c r="R20">
        <f>IF($D20="","n/a",IF(AND(N($J20)&gt;=$D20*R4_FLOOR,N($K20)&gt;=$D20*R4_FLOOR,N($L20)&gt;=$D20*R4_FLOOR),"PASS","FAIL"))</f>
        <v/>
      </c>
      <c r="S20">
        <f>IF(COUNTIF($M20:$R20,"FAIL")&gt;0,"BLOCKED",IF($D20="","HOLD - no cost","GO"))</f>
        <v/>
      </c>
      <c r="T20">
        <f>IF($S20="GO","",IF($M20="FAIL","SKU format. ","")&amp;IF($N20="FAIL","Duplicate SKU. ","")&amp;IF($P20="FAIL","Landed cost is below ex-works - impossible. ","")&amp;IF($Q20="FAIL","Retail is below the floor-binding minimum. ","")&amp;IF($R20="FAIL","A published discount tier breaches the floor. ","")&amp;IF($D20="","No cost recorded - cannot be gated or published. ",""))</f>
        <v/>
      </c>
    </row>
    <row r="21">
      <c r="A21" t="inlineStr">
        <is>
          <t>UC-BOG-SQB-013</t>
        </is>
      </c>
      <c r="B21">
        <f>IFERROR(INDEX(LANDED_COST_BUILD!$B:$B,MATCH($A21,LANDED_COST_BUILD!$A:$A,0)),"")</f>
        <v/>
      </c>
      <c r="C21">
        <f>IFERROR(INDEX(LANDED_COST_BUILD!$C:$C,MATCH($A21,LANDED_COST_BUILD!$A:$A,0)),"")</f>
        <v/>
      </c>
      <c r="D21">
        <f>IFERROR(IF(INDEX(LANDED_COST_BUILD!$O:$O,MATCH($A21,LANDED_COST_BUILD!$A:$A,0))="","",INDEX(LANDED_COST_BUILD!$O:$O,MATCH($A21,LANDED_COST_BUILD!$A:$A,0))*FX_USD_KES),"")</f>
        <v/>
      </c>
      <c r="E21">
        <f>IFERROR(LEFT(INDEX(LANDED_COST_BUILD!$P:$P,MATCH($A21,LANDED_COST_BUILD!$A:$A,0)),FIND(" ",INDEX(LANDED_COST_BUILD!$P:$P,MATCH($A21,LANDED_COST_BUILD!$A:$A,0))&amp;" ")-1),"")</f>
        <v/>
      </c>
      <c r="F21">
        <f>IF($D21="","",ROUNDUP($D21*R4_FLOOR/MIN_TIER_RATE,0))</f>
        <v/>
      </c>
      <c r="G21">
        <f>IFERROR(INDEX('SKU with PRICES'!$M:$M,MATCH($A21,'SKU with PRICES'!$H:$H,0)),"")</f>
        <v/>
      </c>
      <c r="H21" s="106">
        <f>IF(OR($D21="",$G21=""),"",ROUND($G21/($D21*R4_FLOOR)-1,4))</f>
        <v/>
      </c>
      <c r="I21" s="106">
        <f>IF(OR($D21="",$G21=""),"",MAX(0,1-($D21*R4_FLOOR/$G21)))</f>
        <v/>
      </c>
      <c r="J21">
        <f>IFERROR(INDEX('SKU with PRICES'!$O:$O,MATCH($A21,'SKU with PRICES'!$H:$H,0)),"")</f>
        <v/>
      </c>
      <c r="K21">
        <f>IFERROR(INDEX('SKU with PRICES'!$Q:$Q,MATCH($A21,'SKU with PRICES'!$H:$H,0)),"")</f>
        <v/>
      </c>
      <c r="L21">
        <f>IFERROR(INDEX('SKU with PRICES'!$S:$S,MATCH($A21,'SKU with PRICES'!$H:$H,0)),"")</f>
        <v/>
      </c>
      <c r="M21">
        <f>IF(AND(LEFT($A21,3)="UC-",LEN($A21)&gt;=13),"PASS","FAIL")</f>
        <v/>
      </c>
      <c r="N21">
        <f>IF(COUNTIF($A$5:$A$99,$A21)=1,"PASS","FAIL")</f>
        <v/>
      </c>
      <c r="O21">
        <f>IF($E21="NONE","FAIL",IF($E21="RECORDED","WARN","PASS"))</f>
        <v/>
      </c>
      <c r="P21">
        <f>IFERROR(IF(INDEX(LANDED_COST_BUILD!$O:$O,MATCH($A21,LANDED_COST_BUILD!$A:$A,0))="","n/a",IF(INDEX(LANDED_COST_BUILD!$O:$O,MATCH($A21,LANDED_COST_BUILD!$A:$A,0))&lt;INDEX(LANDED_COST_BUILD!$G:$G,MATCH($A21,LANDED_COST_BUILD!$A:$A,0)),"FAIL","PASS")),"n/a")</f>
        <v/>
      </c>
      <c r="Q21">
        <f>IF(OR($F21="",$G21=""),"n/a",IF($G21&gt;=$F21,"PASS","FAIL"))</f>
        <v/>
      </c>
      <c r="R21">
        <f>IF($D21="","n/a",IF(AND(N($J21)&gt;=$D21*R4_FLOOR,N($K21)&gt;=$D21*R4_FLOOR,N($L21)&gt;=$D21*R4_FLOOR),"PASS","FAIL"))</f>
        <v/>
      </c>
      <c r="S21">
        <f>IF(COUNTIF($M21:$R21,"FAIL")&gt;0,"BLOCKED",IF($D21="","HOLD - no cost","GO"))</f>
        <v/>
      </c>
      <c r="T21">
        <f>IF($S21="GO","",IF($M21="FAIL","SKU format. ","")&amp;IF($N21="FAIL","Duplicate SKU. ","")&amp;IF($P21="FAIL","Landed cost is below ex-works - impossible. ","")&amp;IF($Q21="FAIL","Retail is below the floor-binding minimum. ","")&amp;IF($R21="FAIL","A published discount tier breaches the floor. ","")&amp;IF($D21="","No cost recorded - cannot be gated or published. ",""))</f>
        <v/>
      </c>
    </row>
    <row r="22">
      <c r="A22" t="inlineStr">
        <is>
          <t>UC-BOG-SQB-014</t>
        </is>
      </c>
      <c r="B22">
        <f>IFERROR(INDEX(LANDED_COST_BUILD!$B:$B,MATCH($A22,LANDED_COST_BUILD!$A:$A,0)),"")</f>
        <v/>
      </c>
      <c r="C22">
        <f>IFERROR(INDEX(LANDED_COST_BUILD!$C:$C,MATCH($A22,LANDED_COST_BUILD!$A:$A,0)),"")</f>
        <v/>
      </c>
      <c r="D22">
        <f>IFERROR(IF(INDEX(LANDED_COST_BUILD!$O:$O,MATCH($A22,LANDED_COST_BUILD!$A:$A,0))="","",INDEX(LANDED_COST_BUILD!$O:$O,MATCH($A22,LANDED_COST_BUILD!$A:$A,0))*FX_USD_KES),"")</f>
        <v/>
      </c>
      <c r="E22">
        <f>IFERROR(LEFT(INDEX(LANDED_COST_BUILD!$P:$P,MATCH($A22,LANDED_COST_BUILD!$A:$A,0)),FIND(" ",INDEX(LANDED_COST_BUILD!$P:$P,MATCH($A22,LANDED_COST_BUILD!$A:$A,0))&amp;" ")-1),"")</f>
        <v/>
      </c>
      <c r="F22">
        <f>IF($D22="","",ROUNDUP($D22*R4_FLOOR/MIN_TIER_RATE,0))</f>
        <v/>
      </c>
      <c r="G22">
        <f>IFERROR(INDEX('SKU with PRICES'!$M:$M,MATCH($A22,'SKU with PRICES'!$H:$H,0)),"")</f>
        <v/>
      </c>
      <c r="H22" s="106">
        <f>IF(OR($D22="",$G22=""),"",ROUND($G22/($D22*R4_FLOOR)-1,4))</f>
        <v/>
      </c>
      <c r="I22" s="106">
        <f>IF(OR($D22="",$G22=""),"",MAX(0,1-($D22*R4_FLOOR/$G22)))</f>
        <v/>
      </c>
      <c r="J22">
        <f>IFERROR(INDEX('SKU with PRICES'!$O:$O,MATCH($A22,'SKU with PRICES'!$H:$H,0)),"")</f>
        <v/>
      </c>
      <c r="K22">
        <f>IFERROR(INDEX('SKU with PRICES'!$Q:$Q,MATCH($A22,'SKU with PRICES'!$H:$H,0)),"")</f>
        <v/>
      </c>
      <c r="L22">
        <f>IFERROR(INDEX('SKU with PRICES'!$S:$S,MATCH($A22,'SKU with PRICES'!$H:$H,0)),"")</f>
        <v/>
      </c>
      <c r="M22">
        <f>IF(AND(LEFT($A22,3)="UC-",LEN($A22)&gt;=13),"PASS","FAIL")</f>
        <v/>
      </c>
      <c r="N22">
        <f>IF(COUNTIF($A$5:$A$99,$A22)=1,"PASS","FAIL")</f>
        <v/>
      </c>
      <c r="O22">
        <f>IF($E22="NONE","FAIL",IF($E22="RECORDED","WARN","PASS"))</f>
        <v/>
      </c>
      <c r="P22">
        <f>IFERROR(IF(INDEX(LANDED_COST_BUILD!$O:$O,MATCH($A22,LANDED_COST_BUILD!$A:$A,0))="","n/a",IF(INDEX(LANDED_COST_BUILD!$O:$O,MATCH($A22,LANDED_COST_BUILD!$A:$A,0))&lt;INDEX(LANDED_COST_BUILD!$G:$G,MATCH($A22,LANDED_COST_BUILD!$A:$A,0)),"FAIL","PASS")),"n/a")</f>
        <v/>
      </c>
      <c r="Q22">
        <f>IF(OR($F22="",$G22=""),"n/a",IF($G22&gt;=$F22,"PASS","FAIL"))</f>
        <v/>
      </c>
      <c r="R22">
        <f>IF($D22="","n/a",IF(AND(N($J22)&gt;=$D22*R4_FLOOR,N($K22)&gt;=$D22*R4_FLOOR,N($L22)&gt;=$D22*R4_FLOOR),"PASS","FAIL"))</f>
        <v/>
      </c>
      <c r="S22">
        <f>IF(COUNTIF($M22:$R22,"FAIL")&gt;0,"BLOCKED",IF($D22="","HOLD - no cost","GO"))</f>
        <v/>
      </c>
      <c r="T22">
        <f>IF($S22="GO","",IF($M22="FAIL","SKU format. ","")&amp;IF($N22="FAIL","Duplicate SKU. ","")&amp;IF($P22="FAIL","Landed cost is below ex-works - impossible. ","")&amp;IF($Q22="FAIL","Retail is below the floor-binding minimum. ","")&amp;IF($R22="FAIL","A published discount tier breaches the floor. ","")&amp;IF($D22="","No cost recorded - cannot be gated or published. ",""))</f>
        <v/>
      </c>
    </row>
    <row r="23">
      <c r="A23" t="inlineStr">
        <is>
          <t>UC-BOG-UF-100</t>
        </is>
      </c>
      <c r="B23">
        <f>IFERROR(INDEX(LANDED_COST_BUILD!$B:$B,MATCH($A23,LANDED_COST_BUILD!$A:$A,0)),"")</f>
        <v/>
      </c>
      <c r="C23">
        <f>IFERROR(INDEX(LANDED_COST_BUILD!$C:$C,MATCH($A23,LANDED_COST_BUILD!$A:$A,0)),"")</f>
        <v/>
      </c>
      <c r="D23">
        <f>IFERROR(IF(INDEX(LANDED_COST_BUILD!$O:$O,MATCH($A23,LANDED_COST_BUILD!$A:$A,0))="","",INDEX(LANDED_COST_BUILD!$O:$O,MATCH($A23,LANDED_COST_BUILD!$A:$A,0))*FX_USD_KES),"")</f>
        <v/>
      </c>
      <c r="E23">
        <f>IFERROR(LEFT(INDEX(LANDED_COST_BUILD!$P:$P,MATCH($A23,LANDED_COST_BUILD!$A:$A,0)),FIND(" ",INDEX(LANDED_COST_BUILD!$P:$P,MATCH($A23,LANDED_COST_BUILD!$A:$A,0))&amp;" ")-1),"")</f>
        <v/>
      </c>
      <c r="F23">
        <f>IF($D23="","",ROUNDUP($D23*R4_FLOOR/MIN_TIER_RATE,0))</f>
        <v/>
      </c>
      <c r="G23">
        <f>IFERROR(INDEX('SKU with PRICES'!$M:$M,MATCH($A23,'SKU with PRICES'!$H:$H,0)),"")</f>
        <v/>
      </c>
      <c r="H23" s="106">
        <f>IF(OR($D23="",$G23=""),"",ROUND($G23/($D23*R4_FLOOR)-1,4))</f>
        <v/>
      </c>
      <c r="I23" s="106">
        <f>IF(OR($D23="",$G23=""),"",MAX(0,1-($D23*R4_FLOOR/$G23)))</f>
        <v/>
      </c>
      <c r="J23">
        <f>IFERROR(INDEX('SKU with PRICES'!$O:$O,MATCH($A23,'SKU with PRICES'!$H:$H,0)),"")</f>
        <v/>
      </c>
      <c r="K23">
        <f>IFERROR(INDEX('SKU with PRICES'!$Q:$Q,MATCH($A23,'SKU with PRICES'!$H:$H,0)),"")</f>
        <v/>
      </c>
      <c r="L23">
        <f>IFERROR(INDEX('SKU with PRICES'!$S:$S,MATCH($A23,'SKU with PRICES'!$H:$H,0)),"")</f>
        <v/>
      </c>
      <c r="M23">
        <f>IF(AND(LEFT($A23,3)="UC-",LEN($A23)&gt;=13),"PASS","FAIL")</f>
        <v/>
      </c>
      <c r="N23">
        <f>IF(COUNTIF($A$5:$A$99,$A23)=1,"PASS","FAIL")</f>
        <v/>
      </c>
      <c r="O23">
        <f>IF($E23="NONE","FAIL",IF($E23="RECORDED","WARN","PASS"))</f>
        <v/>
      </c>
      <c r="P23">
        <f>IFERROR(IF(INDEX(LANDED_COST_BUILD!$O:$O,MATCH($A23,LANDED_COST_BUILD!$A:$A,0))="","n/a",IF(INDEX(LANDED_COST_BUILD!$O:$O,MATCH($A23,LANDED_COST_BUILD!$A:$A,0))&lt;INDEX(LANDED_COST_BUILD!$G:$G,MATCH($A23,LANDED_COST_BUILD!$A:$A,0)),"FAIL","PASS")),"n/a")</f>
        <v/>
      </c>
      <c r="Q23">
        <f>IF(OR($F23="",$G23=""),"n/a",IF($G23&gt;=$F23,"PASS","FAIL"))</f>
        <v/>
      </c>
      <c r="R23">
        <f>IF($D23="","n/a",IF(AND(N($J23)&gt;=$D23*R4_FLOOR,N($K23)&gt;=$D23*R4_FLOOR,N($L23)&gt;=$D23*R4_FLOOR),"PASS","FAIL"))</f>
        <v/>
      </c>
      <c r="S23">
        <f>IF(COUNTIF($M23:$R23,"FAIL")&gt;0,"BLOCKED",IF($D23="","HOLD - no cost","GO"))</f>
        <v/>
      </c>
      <c r="T23">
        <f>IF($S23="GO","",IF($M23="FAIL","SKU format. ","")&amp;IF($N23="FAIL","Duplicate SKU. ","")&amp;IF($P23="FAIL","Landed cost is below ex-works - impossible. ","")&amp;IF($Q23="FAIL","Retail is below the floor-binding minimum. ","")&amp;IF($R23="FAIL","A published discount tier breaches the floor. ","")&amp;IF($D23="","No cost recorded - cannot be gated or published. ",""))</f>
        <v/>
      </c>
    </row>
    <row r="24">
      <c r="A24" t="inlineStr">
        <is>
          <t>UC-BOG-FCA-015</t>
        </is>
      </c>
      <c r="B24">
        <f>IFERROR(INDEX(LANDED_COST_BUILD!$B:$B,MATCH($A24,LANDED_COST_BUILD!$A:$A,0)),"")</f>
        <v/>
      </c>
      <c r="C24">
        <f>IFERROR(INDEX(LANDED_COST_BUILD!$C:$C,MATCH($A24,LANDED_COST_BUILD!$A:$A,0)),"")</f>
        <v/>
      </c>
      <c r="D24">
        <f>IFERROR(IF(INDEX(LANDED_COST_BUILD!$O:$O,MATCH($A24,LANDED_COST_BUILD!$A:$A,0))="","",INDEX(LANDED_COST_BUILD!$O:$O,MATCH($A24,LANDED_COST_BUILD!$A:$A,0))*FX_USD_KES),"")</f>
        <v/>
      </c>
      <c r="E24">
        <f>IFERROR(LEFT(INDEX(LANDED_COST_BUILD!$P:$P,MATCH($A24,LANDED_COST_BUILD!$A:$A,0)),FIND(" ",INDEX(LANDED_COST_BUILD!$P:$P,MATCH($A24,LANDED_COST_BUILD!$A:$A,0))&amp;" ")-1),"")</f>
        <v/>
      </c>
      <c r="F24">
        <f>IF($D24="","",ROUNDUP($D24*R4_FLOOR/MIN_TIER_RATE,0))</f>
        <v/>
      </c>
      <c r="G24">
        <f>IFERROR(INDEX('SKU with PRICES'!$M:$M,MATCH($A24,'SKU with PRICES'!$H:$H,0)),"")</f>
        <v/>
      </c>
      <c r="H24" s="106">
        <f>IF(OR($D24="",$G24=""),"",ROUND($G24/($D24*R4_FLOOR)-1,4))</f>
        <v/>
      </c>
      <c r="I24" s="106">
        <f>IF(OR($D24="",$G24=""),"",MAX(0,1-($D24*R4_FLOOR/$G24)))</f>
        <v/>
      </c>
      <c r="J24">
        <f>IFERROR(INDEX('SKU with PRICES'!$O:$O,MATCH($A24,'SKU with PRICES'!$H:$H,0)),"")</f>
        <v/>
      </c>
      <c r="K24">
        <f>IFERROR(INDEX('SKU with PRICES'!$Q:$Q,MATCH($A24,'SKU with PRICES'!$H:$H,0)),"")</f>
        <v/>
      </c>
      <c r="L24">
        <f>IFERROR(INDEX('SKU with PRICES'!$S:$S,MATCH($A24,'SKU with PRICES'!$H:$H,0)),"")</f>
        <v/>
      </c>
      <c r="M24">
        <f>IF(AND(LEFT($A24,3)="UC-",LEN($A24)&gt;=13),"PASS","FAIL")</f>
        <v/>
      </c>
      <c r="N24">
        <f>IF(COUNTIF($A$5:$A$99,$A24)=1,"PASS","FAIL")</f>
        <v/>
      </c>
      <c r="O24">
        <f>IF($E24="NONE","FAIL",IF($E24="RECORDED","WARN","PASS"))</f>
        <v/>
      </c>
      <c r="P24">
        <f>IFERROR(IF(INDEX(LANDED_COST_BUILD!$O:$O,MATCH($A24,LANDED_COST_BUILD!$A:$A,0))="","n/a",IF(INDEX(LANDED_COST_BUILD!$O:$O,MATCH($A24,LANDED_COST_BUILD!$A:$A,0))&lt;INDEX(LANDED_COST_BUILD!$G:$G,MATCH($A24,LANDED_COST_BUILD!$A:$A,0)),"FAIL","PASS")),"n/a")</f>
        <v/>
      </c>
      <c r="Q24">
        <f>IF(OR($F24="",$G24=""),"n/a",IF($G24&gt;=$F24,"PASS","FAIL"))</f>
        <v/>
      </c>
      <c r="R24">
        <f>IF($D24="","n/a",IF(AND(N($J24)&gt;=$D24*R4_FLOOR,N($K24)&gt;=$D24*R4_FLOOR,N($L24)&gt;=$D24*R4_FLOOR),"PASS","FAIL"))</f>
        <v/>
      </c>
      <c r="S24">
        <f>IF(COUNTIF($M24:$R24,"FAIL")&gt;0,"BLOCKED",IF($D24="","HOLD - no cost","GO"))</f>
        <v/>
      </c>
      <c r="T24">
        <f>IF($S24="GO","",IF($M24="FAIL","SKU format. ","")&amp;IF($N24="FAIL","Duplicate SKU. ","")&amp;IF($P24="FAIL","Landed cost is below ex-works - impossible. ","")&amp;IF($Q24="FAIL","Retail is below the floor-binding minimum. ","")&amp;IF($R24="FAIL","A published discount tier breaches the floor. ","")&amp;IF($D24="","No cost recorded - cannot be gated or published. ",""))</f>
        <v/>
      </c>
    </row>
    <row r="25">
      <c r="A25" t="inlineStr">
        <is>
          <t>UC-BOG-FST-016</t>
        </is>
      </c>
      <c r="B25">
        <f>IFERROR(INDEX(LANDED_COST_BUILD!$B:$B,MATCH($A25,LANDED_COST_BUILD!$A:$A,0)),"")</f>
        <v/>
      </c>
      <c r="C25">
        <f>IFERROR(INDEX(LANDED_COST_BUILD!$C:$C,MATCH($A25,LANDED_COST_BUILD!$A:$A,0)),"")</f>
        <v/>
      </c>
      <c r="D25">
        <f>IFERROR(IF(INDEX(LANDED_COST_BUILD!$O:$O,MATCH($A25,LANDED_COST_BUILD!$A:$A,0))="","",INDEX(LANDED_COST_BUILD!$O:$O,MATCH($A25,LANDED_COST_BUILD!$A:$A,0))*FX_USD_KES),"")</f>
        <v/>
      </c>
      <c r="E25">
        <f>IFERROR(LEFT(INDEX(LANDED_COST_BUILD!$P:$P,MATCH($A25,LANDED_COST_BUILD!$A:$A,0)),FIND(" ",INDEX(LANDED_COST_BUILD!$P:$P,MATCH($A25,LANDED_COST_BUILD!$A:$A,0))&amp;" ")-1),"")</f>
        <v/>
      </c>
      <c r="F25">
        <f>IF($D25="","",ROUNDUP($D25*R4_FLOOR/MIN_TIER_RATE,0))</f>
        <v/>
      </c>
      <c r="G25">
        <f>IFERROR(INDEX('SKU with PRICES'!$M:$M,MATCH($A25,'SKU with PRICES'!$H:$H,0)),"")</f>
        <v/>
      </c>
      <c r="H25" s="106">
        <f>IF(OR($D25="",$G25=""),"",ROUND($G25/($D25*R4_FLOOR)-1,4))</f>
        <v/>
      </c>
      <c r="I25" s="106">
        <f>IF(OR($D25="",$G25=""),"",MAX(0,1-($D25*R4_FLOOR/$G25)))</f>
        <v/>
      </c>
      <c r="J25">
        <f>IFERROR(INDEX('SKU with PRICES'!$O:$O,MATCH($A25,'SKU with PRICES'!$H:$H,0)),"")</f>
        <v/>
      </c>
      <c r="K25">
        <f>IFERROR(INDEX('SKU with PRICES'!$Q:$Q,MATCH($A25,'SKU with PRICES'!$H:$H,0)),"")</f>
        <v/>
      </c>
      <c r="L25">
        <f>IFERROR(INDEX('SKU with PRICES'!$S:$S,MATCH($A25,'SKU with PRICES'!$H:$H,0)),"")</f>
        <v/>
      </c>
      <c r="M25">
        <f>IF(AND(LEFT($A25,3)="UC-",LEN($A25)&gt;=13),"PASS","FAIL")</f>
        <v/>
      </c>
      <c r="N25">
        <f>IF(COUNTIF($A$5:$A$99,$A25)=1,"PASS","FAIL")</f>
        <v/>
      </c>
      <c r="O25">
        <f>IF($E25="NONE","FAIL",IF($E25="RECORDED","WARN","PASS"))</f>
        <v/>
      </c>
      <c r="P25">
        <f>IFERROR(IF(INDEX(LANDED_COST_BUILD!$O:$O,MATCH($A25,LANDED_COST_BUILD!$A:$A,0))="","n/a",IF(INDEX(LANDED_COST_BUILD!$O:$O,MATCH($A25,LANDED_COST_BUILD!$A:$A,0))&lt;INDEX(LANDED_COST_BUILD!$G:$G,MATCH($A25,LANDED_COST_BUILD!$A:$A,0)),"FAIL","PASS")),"n/a")</f>
        <v/>
      </c>
      <c r="Q25">
        <f>IF(OR($F25="",$G25=""),"n/a",IF($G25&gt;=$F25,"PASS","FAIL"))</f>
        <v/>
      </c>
      <c r="R25">
        <f>IF($D25="","n/a",IF(AND(N($J25)&gt;=$D25*R4_FLOOR,N($K25)&gt;=$D25*R4_FLOOR,N($L25)&gt;=$D25*R4_FLOOR),"PASS","FAIL"))</f>
        <v/>
      </c>
      <c r="S25">
        <f>IF(COUNTIF($M25:$R25,"FAIL")&gt;0,"BLOCKED",IF($D25="","HOLD - no cost","GO"))</f>
        <v/>
      </c>
      <c r="T25">
        <f>IF($S25="GO","",IF($M25="FAIL","SKU format. ","")&amp;IF($N25="FAIL","Duplicate SKU. ","")&amp;IF($P25="FAIL","Landed cost is below ex-works - impossible. ","")&amp;IF($Q25="FAIL","Retail is below the floor-binding minimum. ","")&amp;IF($R25="FAIL","A published discount tier breaches the floor. ","")&amp;IF($D25="","No cost recorded - cannot be gated or published. ",""))</f>
        <v/>
      </c>
    </row>
    <row r="26">
      <c r="A26" t="inlineStr">
        <is>
          <t>UC-BOG-FCS-017</t>
        </is>
      </c>
      <c r="B26">
        <f>IFERROR(INDEX(LANDED_COST_BUILD!$B:$B,MATCH($A26,LANDED_COST_BUILD!$A:$A,0)),"")</f>
        <v/>
      </c>
      <c r="C26">
        <f>IFERROR(INDEX(LANDED_COST_BUILD!$C:$C,MATCH($A26,LANDED_COST_BUILD!$A:$A,0)),"")</f>
        <v/>
      </c>
      <c r="D26">
        <f>IFERROR(IF(INDEX(LANDED_COST_BUILD!$O:$O,MATCH($A26,LANDED_COST_BUILD!$A:$A,0))="","",INDEX(LANDED_COST_BUILD!$O:$O,MATCH($A26,LANDED_COST_BUILD!$A:$A,0))*FX_USD_KES),"")</f>
        <v/>
      </c>
      <c r="E26">
        <f>IFERROR(LEFT(INDEX(LANDED_COST_BUILD!$P:$P,MATCH($A26,LANDED_COST_BUILD!$A:$A,0)),FIND(" ",INDEX(LANDED_COST_BUILD!$P:$P,MATCH($A26,LANDED_COST_BUILD!$A:$A,0))&amp;" ")-1),"")</f>
        <v/>
      </c>
      <c r="F26">
        <f>IF($D26="","",ROUNDUP($D26*R4_FLOOR/MIN_TIER_RATE,0))</f>
        <v/>
      </c>
      <c r="G26">
        <f>IFERROR(INDEX('SKU with PRICES'!$M:$M,MATCH($A26,'SKU with PRICES'!$H:$H,0)),"")</f>
        <v/>
      </c>
      <c r="H26" s="106">
        <f>IF(OR($D26="",$G26=""),"",ROUND($G26/($D26*R4_FLOOR)-1,4))</f>
        <v/>
      </c>
      <c r="I26" s="106">
        <f>IF(OR($D26="",$G26=""),"",MAX(0,1-($D26*R4_FLOOR/$G26)))</f>
        <v/>
      </c>
      <c r="J26">
        <f>IFERROR(INDEX('SKU with PRICES'!$O:$O,MATCH($A26,'SKU with PRICES'!$H:$H,0)),"")</f>
        <v/>
      </c>
      <c r="K26">
        <f>IFERROR(INDEX('SKU with PRICES'!$Q:$Q,MATCH($A26,'SKU with PRICES'!$H:$H,0)),"")</f>
        <v/>
      </c>
      <c r="L26">
        <f>IFERROR(INDEX('SKU with PRICES'!$S:$S,MATCH($A26,'SKU with PRICES'!$H:$H,0)),"")</f>
        <v/>
      </c>
      <c r="M26">
        <f>IF(AND(LEFT($A26,3)="UC-",LEN($A26)&gt;=13),"PASS","FAIL")</f>
        <v/>
      </c>
      <c r="N26">
        <f>IF(COUNTIF($A$5:$A$99,$A26)=1,"PASS","FAIL")</f>
        <v/>
      </c>
      <c r="O26">
        <f>IF($E26="NONE","FAIL",IF($E26="RECORDED","WARN","PASS"))</f>
        <v/>
      </c>
      <c r="P26">
        <f>IFERROR(IF(INDEX(LANDED_COST_BUILD!$O:$O,MATCH($A26,LANDED_COST_BUILD!$A:$A,0))="","n/a",IF(INDEX(LANDED_COST_BUILD!$O:$O,MATCH($A26,LANDED_COST_BUILD!$A:$A,0))&lt;INDEX(LANDED_COST_BUILD!$G:$G,MATCH($A26,LANDED_COST_BUILD!$A:$A,0)),"FAIL","PASS")),"n/a")</f>
        <v/>
      </c>
      <c r="Q26">
        <f>IF(OR($F26="",$G26=""),"n/a",IF($G26&gt;=$F26,"PASS","FAIL"))</f>
        <v/>
      </c>
      <c r="R26">
        <f>IF($D26="","n/a",IF(AND(N($J26)&gt;=$D26*R4_FLOOR,N($K26)&gt;=$D26*R4_FLOOR,N($L26)&gt;=$D26*R4_FLOOR),"PASS","FAIL"))</f>
        <v/>
      </c>
      <c r="S26">
        <f>IF(COUNTIF($M26:$R26,"FAIL")&gt;0,"BLOCKED",IF($D26="","HOLD - no cost","GO"))</f>
        <v/>
      </c>
      <c r="T26">
        <f>IF($S26="GO","",IF($M26="FAIL","SKU format. ","")&amp;IF($N26="FAIL","Duplicate SKU. ","")&amp;IF($P26="FAIL","Landed cost is below ex-works - impossible. ","")&amp;IF($Q26="FAIL","Retail is below the floor-binding minimum. ","")&amp;IF($R26="FAIL","A published discount tier breaches the floor. ","")&amp;IF($D26="","No cost recorded - cannot be gated or published. ",""))</f>
        <v/>
      </c>
    </row>
    <row r="27">
      <c r="A27" t="inlineStr">
        <is>
          <t>UC-BOG-SHL-018</t>
        </is>
      </c>
      <c r="B27">
        <f>IFERROR(INDEX(LANDED_COST_BUILD!$B:$B,MATCH($A27,LANDED_COST_BUILD!$A:$A,0)),"")</f>
        <v/>
      </c>
      <c r="C27">
        <f>IFERROR(INDEX(LANDED_COST_BUILD!$C:$C,MATCH($A27,LANDED_COST_BUILD!$A:$A,0)),"")</f>
        <v/>
      </c>
      <c r="D27">
        <f>IFERROR(IF(INDEX(LANDED_COST_BUILD!$O:$O,MATCH($A27,LANDED_COST_BUILD!$A:$A,0))="","",INDEX(LANDED_COST_BUILD!$O:$O,MATCH($A27,LANDED_COST_BUILD!$A:$A,0))*FX_USD_KES),"")</f>
        <v/>
      </c>
      <c r="E27">
        <f>IFERROR(LEFT(INDEX(LANDED_COST_BUILD!$P:$P,MATCH($A27,LANDED_COST_BUILD!$A:$A,0)),FIND(" ",INDEX(LANDED_COST_BUILD!$P:$P,MATCH($A27,LANDED_COST_BUILD!$A:$A,0))&amp;" ")-1),"")</f>
        <v/>
      </c>
      <c r="F27">
        <f>IF($D27="","",ROUNDUP($D27*R4_FLOOR/MIN_TIER_RATE,0))</f>
        <v/>
      </c>
      <c r="G27">
        <f>IFERROR(INDEX('SKU with PRICES'!$M:$M,MATCH($A27,'SKU with PRICES'!$H:$H,0)),"")</f>
        <v/>
      </c>
      <c r="H27" s="106">
        <f>IF(OR($D27="",$G27=""),"",ROUND($G27/($D27*R4_FLOOR)-1,4))</f>
        <v/>
      </c>
      <c r="I27" s="106">
        <f>IF(OR($D27="",$G27=""),"",MAX(0,1-($D27*R4_FLOOR/$G27)))</f>
        <v/>
      </c>
      <c r="J27">
        <f>IFERROR(INDEX('SKU with PRICES'!$O:$O,MATCH($A27,'SKU with PRICES'!$H:$H,0)),"")</f>
        <v/>
      </c>
      <c r="K27">
        <f>IFERROR(INDEX('SKU with PRICES'!$Q:$Q,MATCH($A27,'SKU with PRICES'!$H:$H,0)),"")</f>
        <v/>
      </c>
      <c r="L27">
        <f>IFERROR(INDEX('SKU with PRICES'!$S:$S,MATCH($A27,'SKU with PRICES'!$H:$H,0)),"")</f>
        <v/>
      </c>
      <c r="M27">
        <f>IF(AND(LEFT($A27,3)="UC-",LEN($A27)&gt;=13),"PASS","FAIL")</f>
        <v/>
      </c>
      <c r="N27">
        <f>IF(COUNTIF($A$5:$A$99,$A27)=1,"PASS","FAIL")</f>
        <v/>
      </c>
      <c r="O27">
        <f>IF($E27="NONE","FAIL",IF($E27="RECORDED","WARN","PASS"))</f>
        <v/>
      </c>
      <c r="P27">
        <f>IFERROR(IF(INDEX(LANDED_COST_BUILD!$O:$O,MATCH($A27,LANDED_COST_BUILD!$A:$A,0))="","n/a",IF(INDEX(LANDED_COST_BUILD!$O:$O,MATCH($A27,LANDED_COST_BUILD!$A:$A,0))&lt;INDEX(LANDED_COST_BUILD!$G:$G,MATCH($A27,LANDED_COST_BUILD!$A:$A,0)),"FAIL","PASS")),"n/a")</f>
        <v/>
      </c>
      <c r="Q27">
        <f>IF(OR($F27="",$G27=""),"n/a",IF($G27&gt;=$F27,"PASS","FAIL"))</f>
        <v/>
      </c>
      <c r="R27">
        <f>IF($D27="","n/a",IF(AND(N($J27)&gt;=$D27*R4_FLOOR,N($K27)&gt;=$D27*R4_FLOOR,N($L27)&gt;=$D27*R4_FLOOR),"PASS","FAIL"))</f>
        <v/>
      </c>
      <c r="S27">
        <f>IF(COUNTIF($M27:$R27,"FAIL")&gt;0,"BLOCKED",IF($D27="","HOLD - no cost","GO"))</f>
        <v/>
      </c>
      <c r="T27">
        <f>IF($S27="GO","",IF($M27="FAIL","SKU format. ","")&amp;IF($N27="FAIL","Duplicate SKU. ","")&amp;IF($P27="FAIL","Landed cost is below ex-works - impossible. ","")&amp;IF($Q27="FAIL","Retail is below the floor-binding minimum. ","")&amp;IF($R27="FAIL","A published discount tier breaches the floor. ","")&amp;IF($D27="","No cost recorded - cannot be gated or published. ",""))</f>
        <v/>
      </c>
    </row>
    <row r="28">
      <c r="A28" t="inlineStr">
        <is>
          <t>UC-SKW-SHF-019</t>
        </is>
      </c>
      <c r="B28">
        <f>IFERROR(INDEX(LANDED_COST_BUILD!$B:$B,MATCH($A28,LANDED_COST_BUILD!$A:$A,0)),"")</f>
        <v/>
      </c>
      <c r="C28">
        <f>IFERROR(INDEX(LANDED_COST_BUILD!$C:$C,MATCH($A28,LANDED_COST_BUILD!$A:$A,0)),"")</f>
        <v/>
      </c>
      <c r="D28">
        <f>IFERROR(IF(INDEX(LANDED_COST_BUILD!$O:$O,MATCH($A28,LANDED_COST_BUILD!$A:$A,0))="","",INDEX(LANDED_COST_BUILD!$O:$O,MATCH($A28,LANDED_COST_BUILD!$A:$A,0))*FX_USD_KES),"")</f>
        <v/>
      </c>
      <c r="E28">
        <f>IFERROR(LEFT(INDEX(LANDED_COST_BUILD!$P:$P,MATCH($A28,LANDED_COST_BUILD!$A:$A,0)),FIND(" ",INDEX(LANDED_COST_BUILD!$P:$P,MATCH($A28,LANDED_COST_BUILD!$A:$A,0))&amp;" ")-1),"")</f>
        <v/>
      </c>
      <c r="F28">
        <f>IF($D28="","",ROUNDUP($D28*R4_FLOOR/MIN_TIER_RATE,0))</f>
        <v/>
      </c>
      <c r="G28">
        <f>IFERROR(INDEX('SKU with PRICES'!$M:$M,MATCH($A28,'SKU with PRICES'!$H:$H,0)),"")</f>
        <v/>
      </c>
      <c r="H28" s="106">
        <f>IF(OR($D28="",$G28=""),"",ROUND($G28/($D28*R4_FLOOR)-1,4))</f>
        <v/>
      </c>
      <c r="I28" s="106">
        <f>IF(OR($D28="",$G28=""),"",MAX(0,1-($D28*R4_FLOOR/$G28)))</f>
        <v/>
      </c>
      <c r="J28">
        <f>IFERROR(INDEX('SKU with PRICES'!$O:$O,MATCH($A28,'SKU with PRICES'!$H:$H,0)),"")</f>
        <v/>
      </c>
      <c r="K28">
        <f>IFERROR(INDEX('SKU with PRICES'!$Q:$Q,MATCH($A28,'SKU with PRICES'!$H:$H,0)),"")</f>
        <v/>
      </c>
      <c r="L28">
        <f>IFERROR(INDEX('SKU with PRICES'!$S:$S,MATCH($A28,'SKU with PRICES'!$H:$H,0)),"")</f>
        <v/>
      </c>
      <c r="M28">
        <f>IF(AND(LEFT($A28,3)="UC-",LEN($A28)&gt;=13),"PASS","FAIL")</f>
        <v/>
      </c>
      <c r="N28">
        <f>IF(COUNTIF($A$5:$A$99,$A28)=1,"PASS","FAIL")</f>
        <v/>
      </c>
      <c r="O28">
        <f>IF($E28="NONE","FAIL",IF($E28="RECORDED","WARN","PASS"))</f>
        <v/>
      </c>
      <c r="P28">
        <f>IFERROR(IF(INDEX(LANDED_COST_BUILD!$O:$O,MATCH($A28,LANDED_COST_BUILD!$A:$A,0))="","n/a",IF(INDEX(LANDED_COST_BUILD!$O:$O,MATCH($A28,LANDED_COST_BUILD!$A:$A,0))&lt;INDEX(LANDED_COST_BUILD!$G:$G,MATCH($A28,LANDED_COST_BUILD!$A:$A,0)),"FAIL","PASS")),"n/a")</f>
        <v/>
      </c>
      <c r="Q28">
        <f>IF(OR($F28="",$G28=""),"n/a",IF($G28&gt;=$F28,"PASS","FAIL"))</f>
        <v/>
      </c>
      <c r="R28">
        <f>IF($D28="","n/a",IF(AND(N($J28)&gt;=$D28*R4_FLOOR,N($K28)&gt;=$D28*R4_FLOOR,N($L28)&gt;=$D28*R4_FLOOR),"PASS","FAIL"))</f>
        <v/>
      </c>
      <c r="S28">
        <f>IF(COUNTIF($M28:$R28,"FAIL")&gt;0,"BLOCKED",IF($D28="","HOLD - no cost","GO"))</f>
        <v/>
      </c>
      <c r="T28">
        <f>IF($S28="GO","",IF($M28="FAIL","SKU format. ","")&amp;IF($N28="FAIL","Duplicate SKU. ","")&amp;IF($P28="FAIL","Landed cost is below ex-works - impossible. ","")&amp;IF($Q28="FAIL","Retail is below the floor-binding minimum. ","")&amp;IF($R28="FAIL","A published discount tier breaches the floor. ","")&amp;IF($D28="","No cost recorded - cannot be gated or published. ",""))</f>
        <v/>
      </c>
    </row>
    <row r="29">
      <c r="A29" t="inlineStr">
        <is>
          <t>UC-SKW-SHF-020</t>
        </is>
      </c>
      <c r="B29">
        <f>IFERROR(INDEX(LANDED_COST_BUILD!$B:$B,MATCH($A29,LANDED_COST_BUILD!$A:$A,0)),"")</f>
        <v/>
      </c>
      <c r="C29">
        <f>IFERROR(INDEX(LANDED_COST_BUILD!$C:$C,MATCH($A29,LANDED_COST_BUILD!$A:$A,0)),"")</f>
        <v/>
      </c>
      <c r="D29">
        <f>IFERROR(IF(INDEX(LANDED_COST_BUILD!$O:$O,MATCH($A29,LANDED_COST_BUILD!$A:$A,0))="","",INDEX(LANDED_COST_BUILD!$O:$O,MATCH($A29,LANDED_COST_BUILD!$A:$A,0))*FX_USD_KES),"")</f>
        <v/>
      </c>
      <c r="E29">
        <f>IFERROR(LEFT(INDEX(LANDED_COST_BUILD!$P:$P,MATCH($A29,LANDED_COST_BUILD!$A:$A,0)),FIND(" ",INDEX(LANDED_COST_BUILD!$P:$P,MATCH($A29,LANDED_COST_BUILD!$A:$A,0))&amp;" ")-1),"")</f>
        <v/>
      </c>
      <c r="F29">
        <f>IF($D29="","",ROUNDUP($D29*R4_FLOOR/MIN_TIER_RATE,0))</f>
        <v/>
      </c>
      <c r="G29">
        <f>IFERROR(INDEX('SKU with PRICES'!$M:$M,MATCH($A29,'SKU with PRICES'!$H:$H,0)),"")</f>
        <v/>
      </c>
      <c r="H29" s="106">
        <f>IF(OR($D29="",$G29=""),"",ROUND($G29/($D29*R4_FLOOR)-1,4))</f>
        <v/>
      </c>
      <c r="I29" s="106">
        <f>IF(OR($D29="",$G29=""),"",MAX(0,1-($D29*R4_FLOOR/$G29)))</f>
        <v/>
      </c>
      <c r="J29">
        <f>IFERROR(INDEX('SKU with PRICES'!$O:$O,MATCH($A29,'SKU with PRICES'!$H:$H,0)),"")</f>
        <v/>
      </c>
      <c r="K29">
        <f>IFERROR(INDEX('SKU with PRICES'!$Q:$Q,MATCH($A29,'SKU with PRICES'!$H:$H,0)),"")</f>
        <v/>
      </c>
      <c r="L29">
        <f>IFERROR(INDEX('SKU with PRICES'!$S:$S,MATCH($A29,'SKU with PRICES'!$H:$H,0)),"")</f>
        <v/>
      </c>
      <c r="M29">
        <f>IF(AND(LEFT($A29,3)="UC-",LEN($A29)&gt;=13),"PASS","FAIL")</f>
        <v/>
      </c>
      <c r="N29">
        <f>IF(COUNTIF($A$5:$A$99,$A29)=1,"PASS","FAIL")</f>
        <v/>
      </c>
      <c r="O29">
        <f>IF($E29="NONE","FAIL",IF($E29="RECORDED","WARN","PASS"))</f>
        <v/>
      </c>
      <c r="P29">
        <f>IFERROR(IF(INDEX(LANDED_COST_BUILD!$O:$O,MATCH($A29,LANDED_COST_BUILD!$A:$A,0))="","n/a",IF(INDEX(LANDED_COST_BUILD!$O:$O,MATCH($A29,LANDED_COST_BUILD!$A:$A,0))&lt;INDEX(LANDED_COST_BUILD!$G:$G,MATCH($A29,LANDED_COST_BUILD!$A:$A,0)),"FAIL","PASS")),"n/a")</f>
        <v/>
      </c>
      <c r="Q29">
        <f>IF(OR($F29="",$G29=""),"n/a",IF($G29&gt;=$F29,"PASS","FAIL"))</f>
        <v/>
      </c>
      <c r="R29">
        <f>IF($D29="","n/a",IF(AND(N($J29)&gt;=$D29*R4_FLOOR,N($K29)&gt;=$D29*R4_FLOOR,N($L29)&gt;=$D29*R4_FLOOR),"PASS","FAIL"))</f>
        <v/>
      </c>
      <c r="S29">
        <f>IF(COUNTIF($M29:$R29,"FAIL")&gt;0,"BLOCKED",IF($D29="","HOLD - no cost","GO"))</f>
        <v/>
      </c>
      <c r="T29">
        <f>IF($S29="GO","",IF($M29="FAIL","SKU format. ","")&amp;IF($N29="FAIL","Duplicate SKU. ","")&amp;IF($P29="FAIL","Landed cost is below ex-works - impossible. ","")&amp;IF($Q29="FAIL","Retail is below the floor-binding minimum. ","")&amp;IF($R29="FAIL","A published discount tier breaches the floor. ","")&amp;IF($D29="","No cost recorded - cannot be gated or published. ",""))</f>
        <v/>
      </c>
    </row>
    <row r="30">
      <c r="A30" t="inlineStr">
        <is>
          <t>UC-SKW-SHF-021</t>
        </is>
      </c>
      <c r="B30">
        <f>IFERROR(INDEX(LANDED_COST_BUILD!$B:$B,MATCH($A30,LANDED_COST_BUILD!$A:$A,0)),"")</f>
        <v/>
      </c>
      <c r="C30">
        <f>IFERROR(INDEX(LANDED_COST_BUILD!$C:$C,MATCH($A30,LANDED_COST_BUILD!$A:$A,0)),"")</f>
        <v/>
      </c>
      <c r="D30">
        <f>IFERROR(IF(INDEX(LANDED_COST_BUILD!$O:$O,MATCH($A30,LANDED_COST_BUILD!$A:$A,0))="","",INDEX(LANDED_COST_BUILD!$O:$O,MATCH($A30,LANDED_COST_BUILD!$A:$A,0))*FX_USD_KES),"")</f>
        <v/>
      </c>
      <c r="E30">
        <f>IFERROR(LEFT(INDEX(LANDED_COST_BUILD!$P:$P,MATCH($A30,LANDED_COST_BUILD!$A:$A,0)),FIND(" ",INDEX(LANDED_COST_BUILD!$P:$P,MATCH($A30,LANDED_COST_BUILD!$A:$A,0))&amp;" ")-1),"")</f>
        <v/>
      </c>
      <c r="F30">
        <f>IF($D30="","",ROUNDUP($D30*R4_FLOOR/MIN_TIER_RATE,0))</f>
        <v/>
      </c>
      <c r="G30">
        <f>IFERROR(INDEX('SKU with PRICES'!$M:$M,MATCH($A30,'SKU with PRICES'!$H:$H,0)),"")</f>
        <v/>
      </c>
      <c r="H30" s="106">
        <f>IF(OR($D30="",$G30=""),"",ROUND($G30/($D30*R4_FLOOR)-1,4))</f>
        <v/>
      </c>
      <c r="I30" s="106">
        <f>IF(OR($D30="",$G30=""),"",MAX(0,1-($D30*R4_FLOOR/$G30)))</f>
        <v/>
      </c>
      <c r="J30">
        <f>IFERROR(INDEX('SKU with PRICES'!$O:$O,MATCH($A30,'SKU with PRICES'!$H:$H,0)),"")</f>
        <v/>
      </c>
      <c r="K30">
        <f>IFERROR(INDEX('SKU with PRICES'!$Q:$Q,MATCH($A30,'SKU with PRICES'!$H:$H,0)),"")</f>
        <v/>
      </c>
      <c r="L30">
        <f>IFERROR(INDEX('SKU with PRICES'!$S:$S,MATCH($A30,'SKU with PRICES'!$H:$H,0)),"")</f>
        <v/>
      </c>
      <c r="M30">
        <f>IF(AND(LEFT($A30,3)="UC-",LEN($A30)&gt;=13),"PASS","FAIL")</f>
        <v/>
      </c>
      <c r="N30">
        <f>IF(COUNTIF($A$5:$A$99,$A30)=1,"PASS","FAIL")</f>
        <v/>
      </c>
      <c r="O30">
        <f>IF($E30="NONE","FAIL",IF($E30="RECORDED","WARN","PASS"))</f>
        <v/>
      </c>
      <c r="P30">
        <f>IFERROR(IF(INDEX(LANDED_COST_BUILD!$O:$O,MATCH($A30,LANDED_COST_BUILD!$A:$A,0))="","n/a",IF(INDEX(LANDED_COST_BUILD!$O:$O,MATCH($A30,LANDED_COST_BUILD!$A:$A,0))&lt;INDEX(LANDED_COST_BUILD!$G:$G,MATCH($A30,LANDED_COST_BUILD!$A:$A,0)),"FAIL","PASS")),"n/a")</f>
        <v/>
      </c>
      <c r="Q30">
        <f>IF(OR($F30="",$G30=""),"n/a",IF($G30&gt;=$F30,"PASS","FAIL"))</f>
        <v/>
      </c>
      <c r="R30">
        <f>IF($D30="","n/a",IF(AND(N($J30)&gt;=$D30*R4_FLOOR,N($K30)&gt;=$D30*R4_FLOOR,N($L30)&gt;=$D30*R4_FLOOR),"PASS","FAIL"))</f>
        <v/>
      </c>
      <c r="S30">
        <f>IF(COUNTIF($M30:$R30,"FAIL")&gt;0,"BLOCKED",IF($D30="","HOLD - no cost","GO"))</f>
        <v/>
      </c>
      <c r="T30">
        <f>IF($S30="GO","",IF($M30="FAIL","SKU format. ","")&amp;IF($N30="FAIL","Duplicate SKU. ","")&amp;IF($P30="FAIL","Landed cost is below ex-works - impossible. ","")&amp;IF($Q30="FAIL","Retail is below the floor-binding minimum. ","")&amp;IF($R30="FAIL","A published discount tier breaches the floor. ","")&amp;IF($D30="","No cost recorded - cannot be gated or published. ",""))</f>
        <v/>
      </c>
    </row>
    <row r="31">
      <c r="A31" t="inlineStr">
        <is>
          <t>UC-SKW-SHF-022</t>
        </is>
      </c>
      <c r="B31">
        <f>IFERROR(INDEX(LANDED_COST_BUILD!$B:$B,MATCH($A31,LANDED_COST_BUILD!$A:$A,0)),"")</f>
        <v/>
      </c>
      <c r="C31">
        <f>IFERROR(INDEX(LANDED_COST_BUILD!$C:$C,MATCH($A31,LANDED_COST_BUILD!$A:$A,0)),"")</f>
        <v/>
      </c>
      <c r="D31">
        <f>IFERROR(IF(INDEX(LANDED_COST_BUILD!$O:$O,MATCH($A31,LANDED_COST_BUILD!$A:$A,0))="","",INDEX(LANDED_COST_BUILD!$O:$O,MATCH($A31,LANDED_COST_BUILD!$A:$A,0))*FX_USD_KES),"")</f>
        <v/>
      </c>
      <c r="E31">
        <f>IFERROR(LEFT(INDEX(LANDED_COST_BUILD!$P:$P,MATCH($A31,LANDED_COST_BUILD!$A:$A,0)),FIND(" ",INDEX(LANDED_COST_BUILD!$P:$P,MATCH($A31,LANDED_COST_BUILD!$A:$A,0))&amp;" ")-1),"")</f>
        <v/>
      </c>
      <c r="F31">
        <f>IF($D31="","",ROUNDUP($D31*R4_FLOOR/MIN_TIER_RATE,0))</f>
        <v/>
      </c>
      <c r="G31">
        <f>IFERROR(INDEX('SKU with PRICES'!$M:$M,MATCH($A31,'SKU with PRICES'!$H:$H,0)),"")</f>
        <v/>
      </c>
      <c r="H31" s="106">
        <f>IF(OR($D31="",$G31=""),"",ROUND($G31/($D31*R4_FLOOR)-1,4))</f>
        <v/>
      </c>
      <c r="I31" s="106">
        <f>IF(OR($D31="",$G31=""),"",MAX(0,1-($D31*R4_FLOOR/$G31)))</f>
        <v/>
      </c>
      <c r="J31">
        <f>IFERROR(INDEX('SKU with PRICES'!$O:$O,MATCH($A31,'SKU with PRICES'!$H:$H,0)),"")</f>
        <v/>
      </c>
      <c r="K31">
        <f>IFERROR(INDEX('SKU with PRICES'!$Q:$Q,MATCH($A31,'SKU with PRICES'!$H:$H,0)),"")</f>
        <v/>
      </c>
      <c r="L31">
        <f>IFERROR(INDEX('SKU with PRICES'!$S:$S,MATCH($A31,'SKU with PRICES'!$H:$H,0)),"")</f>
        <v/>
      </c>
      <c r="M31">
        <f>IF(AND(LEFT($A31,3)="UC-",LEN($A31)&gt;=13),"PASS","FAIL")</f>
        <v/>
      </c>
      <c r="N31">
        <f>IF(COUNTIF($A$5:$A$99,$A31)=1,"PASS","FAIL")</f>
        <v/>
      </c>
      <c r="O31">
        <f>IF($E31="NONE","FAIL",IF($E31="RECORDED","WARN","PASS"))</f>
        <v/>
      </c>
      <c r="P31">
        <f>IFERROR(IF(INDEX(LANDED_COST_BUILD!$O:$O,MATCH($A31,LANDED_COST_BUILD!$A:$A,0))="","n/a",IF(INDEX(LANDED_COST_BUILD!$O:$O,MATCH($A31,LANDED_COST_BUILD!$A:$A,0))&lt;INDEX(LANDED_COST_BUILD!$G:$G,MATCH($A31,LANDED_COST_BUILD!$A:$A,0)),"FAIL","PASS")),"n/a")</f>
        <v/>
      </c>
      <c r="Q31">
        <f>IF(OR($F31="",$G31=""),"n/a",IF($G31&gt;=$F31,"PASS","FAIL"))</f>
        <v/>
      </c>
      <c r="R31">
        <f>IF($D31="","n/a",IF(AND(N($J31)&gt;=$D31*R4_FLOOR,N($K31)&gt;=$D31*R4_FLOOR,N($L31)&gt;=$D31*R4_FLOOR),"PASS","FAIL"))</f>
        <v/>
      </c>
      <c r="S31">
        <f>IF(COUNTIF($M31:$R31,"FAIL")&gt;0,"BLOCKED",IF($D31="","HOLD - no cost","GO"))</f>
        <v/>
      </c>
      <c r="T31">
        <f>IF($S31="GO","",IF($M31="FAIL","SKU format. ","")&amp;IF($N31="FAIL","Duplicate SKU. ","")&amp;IF($P31="FAIL","Landed cost is below ex-works - impossible. ","")&amp;IF($Q31="FAIL","Retail is below the floor-binding minimum. ","")&amp;IF($R31="FAIL","A published discount tier breaches the floor. ","")&amp;IF($D31="","No cost recorded - cannot be gated or published. ",""))</f>
        <v/>
      </c>
    </row>
    <row r="32">
      <c r="A32" t="inlineStr">
        <is>
          <t>UC-SKW-SHC-023</t>
        </is>
      </c>
      <c r="B32">
        <f>IFERROR(INDEX(LANDED_COST_BUILD!$B:$B,MATCH($A32,LANDED_COST_BUILD!$A:$A,0)),"")</f>
        <v/>
      </c>
      <c r="C32">
        <f>IFERROR(INDEX(LANDED_COST_BUILD!$C:$C,MATCH($A32,LANDED_COST_BUILD!$A:$A,0)),"")</f>
        <v/>
      </c>
      <c r="D32">
        <f>IFERROR(IF(INDEX(LANDED_COST_BUILD!$O:$O,MATCH($A32,LANDED_COST_BUILD!$A:$A,0))="","",INDEX(LANDED_COST_BUILD!$O:$O,MATCH($A32,LANDED_COST_BUILD!$A:$A,0))*FX_USD_KES),"")</f>
        <v/>
      </c>
      <c r="E32">
        <f>IFERROR(LEFT(INDEX(LANDED_COST_BUILD!$P:$P,MATCH($A32,LANDED_COST_BUILD!$A:$A,0)),FIND(" ",INDEX(LANDED_COST_BUILD!$P:$P,MATCH($A32,LANDED_COST_BUILD!$A:$A,0))&amp;" ")-1),"")</f>
        <v/>
      </c>
      <c r="F32">
        <f>IF($D32="","",ROUNDUP($D32*R4_FLOOR/MIN_TIER_RATE,0))</f>
        <v/>
      </c>
      <c r="G32">
        <f>IFERROR(INDEX('SKU with PRICES'!$M:$M,MATCH($A32,'SKU with PRICES'!$H:$H,0)),"")</f>
        <v/>
      </c>
      <c r="H32" s="106">
        <f>IF(OR($D32="",$G32=""),"",ROUND($G32/($D32*R4_FLOOR)-1,4))</f>
        <v/>
      </c>
      <c r="I32" s="106">
        <f>IF(OR($D32="",$G32=""),"",MAX(0,1-($D32*R4_FLOOR/$G32)))</f>
        <v/>
      </c>
      <c r="J32">
        <f>IFERROR(INDEX('SKU with PRICES'!$O:$O,MATCH($A32,'SKU with PRICES'!$H:$H,0)),"")</f>
        <v/>
      </c>
      <c r="K32">
        <f>IFERROR(INDEX('SKU with PRICES'!$Q:$Q,MATCH($A32,'SKU with PRICES'!$H:$H,0)),"")</f>
        <v/>
      </c>
      <c r="L32">
        <f>IFERROR(INDEX('SKU with PRICES'!$S:$S,MATCH($A32,'SKU with PRICES'!$H:$H,0)),"")</f>
        <v/>
      </c>
      <c r="M32">
        <f>IF(AND(LEFT($A32,3)="UC-",LEN($A32)&gt;=13),"PASS","FAIL")</f>
        <v/>
      </c>
      <c r="N32">
        <f>IF(COUNTIF($A$5:$A$99,$A32)=1,"PASS","FAIL")</f>
        <v/>
      </c>
      <c r="O32">
        <f>IF($E32="NONE","FAIL",IF($E32="RECORDED","WARN","PASS"))</f>
        <v/>
      </c>
      <c r="P32">
        <f>IFERROR(IF(INDEX(LANDED_COST_BUILD!$O:$O,MATCH($A32,LANDED_COST_BUILD!$A:$A,0))="","n/a",IF(INDEX(LANDED_COST_BUILD!$O:$O,MATCH($A32,LANDED_COST_BUILD!$A:$A,0))&lt;INDEX(LANDED_COST_BUILD!$G:$G,MATCH($A32,LANDED_COST_BUILD!$A:$A,0)),"FAIL","PASS")),"n/a")</f>
        <v/>
      </c>
      <c r="Q32">
        <f>IF(OR($F32="",$G32=""),"n/a",IF($G32&gt;=$F32,"PASS","FAIL"))</f>
        <v/>
      </c>
      <c r="R32">
        <f>IF($D32="","n/a",IF(AND(N($J32)&gt;=$D32*R4_FLOOR,N($K32)&gt;=$D32*R4_FLOOR,N($L32)&gt;=$D32*R4_FLOOR),"PASS","FAIL"))</f>
        <v/>
      </c>
      <c r="S32">
        <f>IF(COUNTIF($M32:$R32,"FAIL")&gt;0,"BLOCKED",IF($D32="","HOLD - no cost","GO"))</f>
        <v/>
      </c>
      <c r="T32">
        <f>IF($S32="GO","",IF($M32="FAIL","SKU format. ","")&amp;IF($N32="FAIL","Duplicate SKU. ","")&amp;IF($P32="FAIL","Landed cost is below ex-works - impossible. ","")&amp;IF($Q32="FAIL","Retail is below the floor-binding minimum. ","")&amp;IF($R32="FAIL","A published discount tier breaches the floor. ","")&amp;IF($D32="","No cost recorded - cannot be gated or published. ",""))</f>
        <v/>
      </c>
    </row>
    <row r="33">
      <c r="A33" t="inlineStr">
        <is>
          <t>UC-SKW-DFS-024</t>
        </is>
      </c>
      <c r="B33">
        <f>IFERROR(INDEX(LANDED_COST_BUILD!$B:$B,MATCH($A33,LANDED_COST_BUILD!$A:$A,0)),"")</f>
        <v/>
      </c>
      <c r="C33">
        <f>IFERROR(INDEX(LANDED_COST_BUILD!$C:$C,MATCH($A33,LANDED_COST_BUILD!$A:$A,0)),"")</f>
        <v/>
      </c>
      <c r="D33">
        <f>IFERROR(IF(INDEX(LANDED_COST_BUILD!$O:$O,MATCH($A33,LANDED_COST_BUILD!$A:$A,0))="","",INDEX(LANDED_COST_BUILD!$O:$O,MATCH($A33,LANDED_COST_BUILD!$A:$A,0))*FX_USD_KES),"")</f>
        <v/>
      </c>
      <c r="E33">
        <f>IFERROR(LEFT(INDEX(LANDED_COST_BUILD!$P:$P,MATCH($A33,LANDED_COST_BUILD!$A:$A,0)),FIND(" ",INDEX(LANDED_COST_BUILD!$P:$P,MATCH($A33,LANDED_COST_BUILD!$A:$A,0))&amp;" ")-1),"")</f>
        <v/>
      </c>
      <c r="F33">
        <f>IF($D33="","",ROUNDUP($D33*R4_FLOOR/MIN_TIER_RATE,0))</f>
        <v/>
      </c>
      <c r="G33">
        <f>IFERROR(INDEX('SKU with PRICES'!$M:$M,MATCH($A33,'SKU with PRICES'!$H:$H,0)),"")</f>
        <v/>
      </c>
      <c r="H33" s="106">
        <f>IF(OR($D33="",$G33=""),"",ROUND($G33/($D33*R4_FLOOR)-1,4))</f>
        <v/>
      </c>
      <c r="I33" s="106">
        <f>IF(OR($D33="",$G33=""),"",MAX(0,1-($D33*R4_FLOOR/$G33)))</f>
        <v/>
      </c>
      <c r="J33">
        <f>IFERROR(INDEX('SKU with PRICES'!$O:$O,MATCH($A33,'SKU with PRICES'!$H:$H,0)),"")</f>
        <v/>
      </c>
      <c r="K33">
        <f>IFERROR(INDEX('SKU with PRICES'!$Q:$Q,MATCH($A33,'SKU with PRICES'!$H:$H,0)),"")</f>
        <v/>
      </c>
      <c r="L33">
        <f>IFERROR(INDEX('SKU with PRICES'!$S:$S,MATCH($A33,'SKU with PRICES'!$H:$H,0)),"")</f>
        <v/>
      </c>
      <c r="M33">
        <f>IF(AND(LEFT($A33,3)="UC-",LEN($A33)&gt;=13),"PASS","FAIL")</f>
        <v/>
      </c>
      <c r="N33">
        <f>IF(COUNTIF($A$5:$A$99,$A33)=1,"PASS","FAIL")</f>
        <v/>
      </c>
      <c r="O33">
        <f>IF($E33="NONE","FAIL",IF($E33="RECORDED","WARN","PASS"))</f>
        <v/>
      </c>
      <c r="P33">
        <f>IFERROR(IF(INDEX(LANDED_COST_BUILD!$O:$O,MATCH($A33,LANDED_COST_BUILD!$A:$A,0))="","n/a",IF(INDEX(LANDED_COST_BUILD!$O:$O,MATCH($A33,LANDED_COST_BUILD!$A:$A,0))&lt;INDEX(LANDED_COST_BUILD!$G:$G,MATCH($A33,LANDED_COST_BUILD!$A:$A,0)),"FAIL","PASS")),"n/a")</f>
        <v/>
      </c>
      <c r="Q33">
        <f>IF(OR($F33="",$G33=""),"n/a",IF($G33&gt;=$F33,"PASS","FAIL"))</f>
        <v/>
      </c>
      <c r="R33">
        <f>IF($D33="","n/a",IF(AND(N($J33)&gt;=$D33*R4_FLOOR,N($K33)&gt;=$D33*R4_FLOOR,N($L33)&gt;=$D33*R4_FLOOR),"PASS","FAIL"))</f>
        <v/>
      </c>
      <c r="S33">
        <f>IF(COUNTIF($M33:$R33,"FAIL")&gt;0,"BLOCKED",IF($D33="","HOLD - no cost","GO"))</f>
        <v/>
      </c>
      <c r="T33">
        <f>IF($S33="GO","",IF($M33="FAIL","SKU format. ","")&amp;IF($N33="FAIL","Duplicate SKU. ","")&amp;IF($P33="FAIL","Landed cost is below ex-works - impossible. ","")&amp;IF($Q33="FAIL","Retail is below the floor-binding minimum. ","")&amp;IF($R33="FAIL","A published discount tier breaches the floor. ","")&amp;IF($D33="","No cost recorded - cannot be gated or published. ",""))</f>
        <v/>
      </c>
    </row>
    <row r="34">
      <c r="A34" t="inlineStr">
        <is>
          <t>UC-SKW-DFS-025</t>
        </is>
      </c>
      <c r="B34">
        <f>IFERROR(INDEX(LANDED_COST_BUILD!$B:$B,MATCH($A34,LANDED_COST_BUILD!$A:$A,0)),"")</f>
        <v/>
      </c>
      <c r="C34">
        <f>IFERROR(INDEX(LANDED_COST_BUILD!$C:$C,MATCH($A34,LANDED_COST_BUILD!$A:$A,0)),"")</f>
        <v/>
      </c>
      <c r="D34">
        <f>IFERROR(IF(INDEX(LANDED_COST_BUILD!$O:$O,MATCH($A34,LANDED_COST_BUILD!$A:$A,0))="","",INDEX(LANDED_COST_BUILD!$O:$O,MATCH($A34,LANDED_COST_BUILD!$A:$A,0))*FX_USD_KES),"")</f>
        <v/>
      </c>
      <c r="E34">
        <f>IFERROR(LEFT(INDEX(LANDED_COST_BUILD!$P:$P,MATCH($A34,LANDED_COST_BUILD!$A:$A,0)),FIND(" ",INDEX(LANDED_COST_BUILD!$P:$P,MATCH($A34,LANDED_COST_BUILD!$A:$A,0))&amp;" ")-1),"")</f>
        <v/>
      </c>
      <c r="F34">
        <f>IF($D34="","",ROUNDUP($D34*R4_FLOOR/MIN_TIER_RATE,0))</f>
        <v/>
      </c>
      <c r="G34">
        <f>IFERROR(INDEX('SKU with PRICES'!$M:$M,MATCH($A34,'SKU with PRICES'!$H:$H,0)),"")</f>
        <v/>
      </c>
      <c r="H34" s="106">
        <f>IF(OR($D34="",$G34=""),"",ROUND($G34/($D34*R4_FLOOR)-1,4))</f>
        <v/>
      </c>
      <c r="I34" s="106">
        <f>IF(OR($D34="",$G34=""),"",MAX(0,1-($D34*R4_FLOOR/$G34)))</f>
        <v/>
      </c>
      <c r="J34">
        <f>IFERROR(INDEX('SKU with PRICES'!$O:$O,MATCH($A34,'SKU with PRICES'!$H:$H,0)),"")</f>
        <v/>
      </c>
      <c r="K34">
        <f>IFERROR(INDEX('SKU with PRICES'!$Q:$Q,MATCH($A34,'SKU with PRICES'!$H:$H,0)),"")</f>
        <v/>
      </c>
      <c r="L34">
        <f>IFERROR(INDEX('SKU with PRICES'!$S:$S,MATCH($A34,'SKU with PRICES'!$H:$H,0)),"")</f>
        <v/>
      </c>
      <c r="M34">
        <f>IF(AND(LEFT($A34,3)="UC-",LEN($A34)&gt;=13),"PASS","FAIL")</f>
        <v/>
      </c>
      <c r="N34">
        <f>IF(COUNTIF($A$5:$A$99,$A34)=1,"PASS","FAIL")</f>
        <v/>
      </c>
      <c r="O34">
        <f>IF($E34="NONE","FAIL",IF($E34="RECORDED","WARN","PASS"))</f>
        <v/>
      </c>
      <c r="P34">
        <f>IFERROR(IF(INDEX(LANDED_COST_BUILD!$O:$O,MATCH($A34,LANDED_COST_BUILD!$A:$A,0))="","n/a",IF(INDEX(LANDED_COST_BUILD!$O:$O,MATCH($A34,LANDED_COST_BUILD!$A:$A,0))&lt;INDEX(LANDED_COST_BUILD!$G:$G,MATCH($A34,LANDED_COST_BUILD!$A:$A,0)),"FAIL","PASS")),"n/a")</f>
        <v/>
      </c>
      <c r="Q34">
        <f>IF(OR($F34="",$G34=""),"n/a",IF($G34&gt;=$F34,"PASS","FAIL"))</f>
        <v/>
      </c>
      <c r="R34">
        <f>IF($D34="","n/a",IF(AND(N($J34)&gt;=$D34*R4_FLOOR,N($K34)&gt;=$D34*R4_FLOOR,N($L34)&gt;=$D34*R4_FLOOR),"PASS","FAIL"))</f>
        <v/>
      </c>
      <c r="S34">
        <f>IF(COUNTIF($M34:$R34,"FAIL")&gt;0,"BLOCKED",IF($D34="","HOLD - no cost","GO"))</f>
        <v/>
      </c>
      <c r="T34">
        <f>IF($S34="GO","",IF($M34="FAIL","SKU format. ","")&amp;IF($N34="FAIL","Duplicate SKU. ","")&amp;IF($P34="FAIL","Landed cost is below ex-works - impossible. ","")&amp;IF($Q34="FAIL","Retail is below the floor-binding minimum. ","")&amp;IF($R34="FAIL","A published discount tier breaches the floor. ","")&amp;IF($D34="","No cost recorded - cannot be gated or published. ",""))</f>
        <v/>
      </c>
    </row>
    <row r="35">
      <c r="A35" t="inlineStr">
        <is>
          <t>UC-SKW-DFS-026</t>
        </is>
      </c>
      <c r="B35">
        <f>IFERROR(INDEX(LANDED_COST_BUILD!$B:$B,MATCH($A35,LANDED_COST_BUILD!$A:$A,0)),"")</f>
        <v/>
      </c>
      <c r="C35">
        <f>IFERROR(INDEX(LANDED_COST_BUILD!$C:$C,MATCH($A35,LANDED_COST_BUILD!$A:$A,0)),"")</f>
        <v/>
      </c>
      <c r="D35">
        <f>IFERROR(IF(INDEX(LANDED_COST_BUILD!$O:$O,MATCH($A35,LANDED_COST_BUILD!$A:$A,0))="","",INDEX(LANDED_COST_BUILD!$O:$O,MATCH($A35,LANDED_COST_BUILD!$A:$A,0))*FX_USD_KES),"")</f>
        <v/>
      </c>
      <c r="E35">
        <f>IFERROR(LEFT(INDEX(LANDED_COST_BUILD!$P:$P,MATCH($A35,LANDED_COST_BUILD!$A:$A,0)),FIND(" ",INDEX(LANDED_COST_BUILD!$P:$P,MATCH($A35,LANDED_COST_BUILD!$A:$A,0))&amp;" ")-1),"")</f>
        <v/>
      </c>
      <c r="F35">
        <f>IF($D35="","",ROUNDUP($D35*R4_FLOOR/MIN_TIER_RATE,0))</f>
        <v/>
      </c>
      <c r="G35">
        <f>IFERROR(INDEX('SKU with PRICES'!$M:$M,MATCH($A35,'SKU with PRICES'!$H:$H,0)),"")</f>
        <v/>
      </c>
      <c r="H35" s="106">
        <f>IF(OR($D35="",$G35=""),"",ROUND($G35/($D35*R4_FLOOR)-1,4))</f>
        <v/>
      </c>
      <c r="I35" s="106">
        <f>IF(OR($D35="",$G35=""),"",MAX(0,1-($D35*R4_FLOOR/$G35)))</f>
        <v/>
      </c>
      <c r="J35">
        <f>IFERROR(INDEX('SKU with PRICES'!$O:$O,MATCH($A35,'SKU with PRICES'!$H:$H,0)),"")</f>
        <v/>
      </c>
      <c r="K35">
        <f>IFERROR(INDEX('SKU with PRICES'!$Q:$Q,MATCH($A35,'SKU with PRICES'!$H:$H,0)),"")</f>
        <v/>
      </c>
      <c r="L35">
        <f>IFERROR(INDEX('SKU with PRICES'!$S:$S,MATCH($A35,'SKU with PRICES'!$H:$H,0)),"")</f>
        <v/>
      </c>
      <c r="M35">
        <f>IF(AND(LEFT($A35,3)="UC-",LEN($A35)&gt;=13),"PASS","FAIL")</f>
        <v/>
      </c>
      <c r="N35">
        <f>IF(COUNTIF($A$5:$A$99,$A35)=1,"PASS","FAIL")</f>
        <v/>
      </c>
      <c r="O35">
        <f>IF($E35="NONE","FAIL",IF($E35="RECORDED","WARN","PASS"))</f>
        <v/>
      </c>
      <c r="P35">
        <f>IFERROR(IF(INDEX(LANDED_COST_BUILD!$O:$O,MATCH($A35,LANDED_COST_BUILD!$A:$A,0))="","n/a",IF(INDEX(LANDED_COST_BUILD!$O:$O,MATCH($A35,LANDED_COST_BUILD!$A:$A,0))&lt;INDEX(LANDED_COST_BUILD!$G:$G,MATCH($A35,LANDED_COST_BUILD!$A:$A,0)),"FAIL","PASS")),"n/a")</f>
        <v/>
      </c>
      <c r="Q35">
        <f>IF(OR($F35="",$G35=""),"n/a",IF($G35&gt;=$F35,"PASS","FAIL"))</f>
        <v/>
      </c>
      <c r="R35">
        <f>IF($D35="","n/a",IF(AND(N($J35)&gt;=$D35*R4_FLOOR,N($K35)&gt;=$D35*R4_FLOOR,N($L35)&gt;=$D35*R4_FLOOR),"PASS","FAIL"))</f>
        <v/>
      </c>
      <c r="S35">
        <f>IF(COUNTIF($M35:$R35,"FAIL")&gt;0,"BLOCKED",IF($D35="","HOLD - no cost","GO"))</f>
        <v/>
      </c>
      <c r="T35">
        <f>IF($S35="GO","",IF($M35="FAIL","SKU format. ","")&amp;IF($N35="FAIL","Duplicate SKU. ","")&amp;IF($P35="FAIL","Landed cost is below ex-works - impossible. ","")&amp;IF($Q35="FAIL","Retail is below the floor-binding minimum. ","")&amp;IF($R35="FAIL","A published discount tier breaches the floor. ","")&amp;IF($D35="","No cost recorded - cannot be gated or published. ",""))</f>
        <v/>
      </c>
    </row>
    <row r="36">
      <c r="A36" t="inlineStr">
        <is>
          <t>UC-SKW-DFO-027</t>
        </is>
      </c>
      <c r="B36">
        <f>IFERROR(INDEX(LANDED_COST_BUILD!$B:$B,MATCH($A36,LANDED_COST_BUILD!$A:$A,0)),"")</f>
        <v/>
      </c>
      <c r="C36">
        <f>IFERROR(INDEX(LANDED_COST_BUILD!$C:$C,MATCH($A36,LANDED_COST_BUILD!$A:$A,0)),"")</f>
        <v/>
      </c>
      <c r="D36">
        <f>IFERROR(IF(INDEX(LANDED_COST_BUILD!$O:$O,MATCH($A36,LANDED_COST_BUILD!$A:$A,0))="","",INDEX(LANDED_COST_BUILD!$O:$O,MATCH($A36,LANDED_COST_BUILD!$A:$A,0))*FX_USD_KES),"")</f>
        <v/>
      </c>
      <c r="E36">
        <f>IFERROR(LEFT(INDEX(LANDED_COST_BUILD!$P:$P,MATCH($A36,LANDED_COST_BUILD!$A:$A,0)),FIND(" ",INDEX(LANDED_COST_BUILD!$P:$P,MATCH($A36,LANDED_COST_BUILD!$A:$A,0))&amp;" ")-1),"")</f>
        <v/>
      </c>
      <c r="F36">
        <f>IF($D36="","",ROUNDUP($D36*R4_FLOOR/MIN_TIER_RATE,0))</f>
        <v/>
      </c>
      <c r="G36">
        <f>IFERROR(INDEX('SKU with PRICES'!$M:$M,MATCH($A36,'SKU with PRICES'!$H:$H,0)),"")</f>
        <v/>
      </c>
      <c r="H36" s="106">
        <f>IF(OR($D36="",$G36=""),"",ROUND($G36/($D36*R4_FLOOR)-1,4))</f>
        <v/>
      </c>
      <c r="I36" s="106">
        <f>IF(OR($D36="",$G36=""),"",MAX(0,1-($D36*R4_FLOOR/$G36)))</f>
        <v/>
      </c>
      <c r="J36">
        <f>IFERROR(INDEX('SKU with PRICES'!$O:$O,MATCH($A36,'SKU with PRICES'!$H:$H,0)),"")</f>
        <v/>
      </c>
      <c r="K36">
        <f>IFERROR(INDEX('SKU with PRICES'!$Q:$Q,MATCH($A36,'SKU with PRICES'!$H:$H,0)),"")</f>
        <v/>
      </c>
      <c r="L36">
        <f>IFERROR(INDEX('SKU with PRICES'!$S:$S,MATCH($A36,'SKU with PRICES'!$H:$H,0)),"")</f>
        <v/>
      </c>
      <c r="M36">
        <f>IF(AND(LEFT($A36,3)="UC-",LEN($A36)&gt;=13),"PASS","FAIL")</f>
        <v/>
      </c>
      <c r="N36">
        <f>IF(COUNTIF($A$5:$A$99,$A36)=1,"PASS","FAIL")</f>
        <v/>
      </c>
      <c r="O36">
        <f>IF($E36="NONE","FAIL",IF($E36="RECORDED","WARN","PASS"))</f>
        <v/>
      </c>
      <c r="P36">
        <f>IFERROR(IF(INDEX(LANDED_COST_BUILD!$O:$O,MATCH($A36,LANDED_COST_BUILD!$A:$A,0))="","n/a",IF(INDEX(LANDED_COST_BUILD!$O:$O,MATCH($A36,LANDED_COST_BUILD!$A:$A,0))&lt;INDEX(LANDED_COST_BUILD!$G:$G,MATCH($A36,LANDED_COST_BUILD!$A:$A,0)),"FAIL","PASS")),"n/a")</f>
        <v/>
      </c>
      <c r="Q36">
        <f>IF(OR($F36="",$G36=""),"n/a",IF($G36&gt;=$F36,"PASS","FAIL"))</f>
        <v/>
      </c>
      <c r="R36">
        <f>IF($D36="","n/a",IF(AND(N($J36)&gt;=$D36*R4_FLOOR,N($K36)&gt;=$D36*R4_FLOOR,N($L36)&gt;=$D36*R4_FLOOR),"PASS","FAIL"))</f>
        <v/>
      </c>
      <c r="S36">
        <f>IF(COUNTIF($M36:$R36,"FAIL")&gt;0,"BLOCKED",IF($D36="","HOLD - no cost","GO"))</f>
        <v/>
      </c>
      <c r="T36">
        <f>IF($S36="GO","",IF($M36="FAIL","SKU format. ","")&amp;IF($N36="FAIL","Duplicate SKU. ","")&amp;IF($P36="FAIL","Landed cost is below ex-works - impossible. ","")&amp;IF($Q36="FAIL","Retail is below the floor-binding minimum. ","")&amp;IF($R36="FAIL","A published discount tier breaches the floor. ","")&amp;IF($D36="","No cost recorded - cannot be gated or published. ",""))</f>
        <v/>
      </c>
    </row>
    <row r="37">
      <c r="A37" t="inlineStr">
        <is>
          <t>UC-HOU-ROP-PP</t>
        </is>
      </c>
      <c r="B37">
        <f>IFERROR(INDEX(LANDED_COST_BUILD!$B:$B,MATCH($A37,LANDED_COST_BUILD!$A:$A,0)),"")</f>
        <v/>
      </c>
      <c r="C37">
        <f>IFERROR(INDEX(LANDED_COST_BUILD!$C:$C,MATCH($A37,LANDED_COST_BUILD!$A:$A,0)),"")</f>
        <v/>
      </c>
      <c r="D37">
        <f>IFERROR(IF(INDEX(LANDED_COST_BUILD!$O:$O,MATCH($A37,LANDED_COST_BUILD!$A:$A,0))="","",INDEX(LANDED_COST_BUILD!$O:$O,MATCH($A37,LANDED_COST_BUILD!$A:$A,0))*FX_USD_KES),"")</f>
        <v/>
      </c>
      <c r="E37">
        <f>IFERROR(LEFT(INDEX(LANDED_COST_BUILD!$P:$P,MATCH($A37,LANDED_COST_BUILD!$A:$A,0)),FIND(" ",INDEX(LANDED_COST_BUILD!$P:$P,MATCH($A37,LANDED_COST_BUILD!$A:$A,0))&amp;" ")-1),"")</f>
        <v/>
      </c>
      <c r="F37">
        <f>IF($D37="","",ROUNDUP($D37*R4_FLOOR/MIN_TIER_RATE,0))</f>
        <v/>
      </c>
      <c r="G37">
        <f>IFERROR(INDEX('SKU with PRICES'!$M:$M,MATCH($A37,'SKU with PRICES'!$H:$H,0)),"")</f>
        <v/>
      </c>
      <c r="H37" s="106">
        <f>IF(OR($D37="",$G37=""),"",ROUND($G37/($D37*R4_FLOOR)-1,4))</f>
        <v/>
      </c>
      <c r="I37" s="106">
        <f>IF(OR($D37="",$G37=""),"",MAX(0,1-($D37*R4_FLOOR/$G37)))</f>
        <v/>
      </c>
      <c r="J37">
        <f>IFERROR(INDEX('SKU with PRICES'!$O:$O,MATCH($A37,'SKU with PRICES'!$H:$H,0)),"")</f>
        <v/>
      </c>
      <c r="K37">
        <f>IFERROR(INDEX('SKU with PRICES'!$Q:$Q,MATCH($A37,'SKU with PRICES'!$H:$H,0)),"")</f>
        <v/>
      </c>
      <c r="L37">
        <f>IFERROR(INDEX('SKU with PRICES'!$S:$S,MATCH($A37,'SKU with PRICES'!$H:$H,0)),"")</f>
        <v/>
      </c>
      <c r="M37">
        <f>IF(AND(LEFT($A37,3)="UC-",LEN($A37)&gt;=13),"PASS","FAIL")</f>
        <v/>
      </c>
      <c r="N37">
        <f>IF(COUNTIF($A$5:$A$99,$A37)=1,"PASS","FAIL")</f>
        <v/>
      </c>
      <c r="O37">
        <f>IF($E37="NONE","FAIL",IF($E37="RECORDED","WARN","PASS"))</f>
        <v/>
      </c>
      <c r="P37">
        <f>IFERROR(IF(INDEX(LANDED_COST_BUILD!$O:$O,MATCH($A37,LANDED_COST_BUILD!$A:$A,0))="","n/a",IF(INDEX(LANDED_COST_BUILD!$O:$O,MATCH($A37,LANDED_COST_BUILD!$A:$A,0))&lt;INDEX(LANDED_COST_BUILD!$G:$G,MATCH($A37,LANDED_COST_BUILD!$A:$A,0)),"FAIL","PASS")),"n/a")</f>
        <v/>
      </c>
      <c r="Q37">
        <f>IF(OR($F37="",$G37=""),"n/a",IF($G37&gt;=$F37,"PASS","FAIL"))</f>
        <v/>
      </c>
      <c r="R37">
        <f>IF($D37="","n/a",IF(AND(N($J37)&gt;=$D37*R4_FLOOR,N($K37)&gt;=$D37*R4_FLOOR,N($L37)&gt;=$D37*R4_FLOOR),"PASS","FAIL"))</f>
        <v/>
      </c>
      <c r="S37">
        <f>IF(COUNTIF($M37:$R37,"FAIL")&gt;0,"BLOCKED",IF($D37="","HOLD - no cost","GO"))</f>
        <v/>
      </c>
      <c r="T37">
        <f>IF($S37="GO","",IF($M37="FAIL","SKU format. ","")&amp;IF($N37="FAIL","Duplicate SKU. ","")&amp;IF($P37="FAIL","Landed cost is below ex-works - impossible. ","")&amp;IF($Q37="FAIL","Retail is below the floor-binding minimum. ","")&amp;IF($R37="FAIL","A published discount tier breaches the floor. ","")&amp;IF($D37="","No cost recorded - cannot be gated or published. ",""))</f>
        <v/>
      </c>
    </row>
    <row r="38">
      <c r="A38" t="inlineStr">
        <is>
          <t>UC-HOU-ROP-UDF</t>
        </is>
      </c>
      <c r="B38">
        <f>IFERROR(INDEX(LANDED_COST_BUILD!$B:$B,MATCH($A38,LANDED_COST_BUILD!$A:$A,0)),"")</f>
        <v/>
      </c>
      <c r="C38">
        <f>IFERROR(INDEX(LANDED_COST_BUILD!$C:$C,MATCH($A38,LANDED_COST_BUILD!$A:$A,0)),"")</f>
        <v/>
      </c>
      <c r="D38">
        <f>IFERROR(IF(INDEX(LANDED_COST_BUILD!$O:$O,MATCH($A38,LANDED_COST_BUILD!$A:$A,0))="","",INDEX(LANDED_COST_BUILD!$O:$O,MATCH($A38,LANDED_COST_BUILD!$A:$A,0))*FX_USD_KES),"")</f>
        <v/>
      </c>
      <c r="E38">
        <f>IFERROR(LEFT(INDEX(LANDED_COST_BUILD!$P:$P,MATCH($A38,LANDED_COST_BUILD!$A:$A,0)),FIND(" ",INDEX(LANDED_COST_BUILD!$P:$P,MATCH($A38,LANDED_COST_BUILD!$A:$A,0))&amp;" ")-1),"")</f>
        <v/>
      </c>
      <c r="F38">
        <f>IF($D38="","",ROUNDUP($D38*R4_FLOOR/MIN_TIER_RATE,0))</f>
        <v/>
      </c>
      <c r="G38">
        <f>IFERROR(INDEX('SKU with PRICES'!$M:$M,MATCH($A38,'SKU with PRICES'!$H:$H,0)),"")</f>
        <v/>
      </c>
      <c r="H38" s="106">
        <f>IF(OR($D38="",$G38=""),"",ROUND($G38/($D38*R4_FLOOR)-1,4))</f>
        <v/>
      </c>
      <c r="I38" s="106">
        <f>IF(OR($D38="",$G38=""),"",MAX(0,1-($D38*R4_FLOOR/$G38)))</f>
        <v/>
      </c>
      <c r="J38">
        <f>IFERROR(INDEX('SKU with PRICES'!$O:$O,MATCH($A38,'SKU with PRICES'!$H:$H,0)),"")</f>
        <v/>
      </c>
      <c r="K38">
        <f>IFERROR(INDEX('SKU with PRICES'!$Q:$Q,MATCH($A38,'SKU with PRICES'!$H:$H,0)),"")</f>
        <v/>
      </c>
      <c r="L38">
        <f>IFERROR(INDEX('SKU with PRICES'!$S:$S,MATCH($A38,'SKU with PRICES'!$H:$H,0)),"")</f>
        <v/>
      </c>
      <c r="M38">
        <f>IF(AND(LEFT($A38,3)="UC-",LEN($A38)&gt;=13),"PASS","FAIL")</f>
        <v/>
      </c>
      <c r="N38">
        <f>IF(COUNTIF($A$5:$A$99,$A38)=1,"PASS","FAIL")</f>
        <v/>
      </c>
      <c r="O38">
        <f>IF($E38="NONE","FAIL",IF($E38="RECORDED","WARN","PASS"))</f>
        <v/>
      </c>
      <c r="P38">
        <f>IFERROR(IF(INDEX(LANDED_COST_BUILD!$O:$O,MATCH($A38,LANDED_COST_BUILD!$A:$A,0))="","n/a",IF(INDEX(LANDED_COST_BUILD!$O:$O,MATCH($A38,LANDED_COST_BUILD!$A:$A,0))&lt;INDEX(LANDED_COST_BUILD!$G:$G,MATCH($A38,LANDED_COST_BUILD!$A:$A,0)),"FAIL","PASS")),"n/a")</f>
        <v/>
      </c>
      <c r="Q38">
        <f>IF(OR($F38="",$G38=""),"n/a",IF($G38&gt;=$F38,"PASS","FAIL"))</f>
        <v/>
      </c>
      <c r="R38">
        <f>IF($D38="","n/a",IF(AND(N($J38)&gt;=$D38*R4_FLOOR,N($K38)&gt;=$D38*R4_FLOOR,N($L38)&gt;=$D38*R4_FLOOR),"PASS","FAIL"))</f>
        <v/>
      </c>
      <c r="S38">
        <f>IF(COUNTIF($M38:$R38,"FAIL")&gt;0,"BLOCKED",IF($D38="","HOLD - no cost","GO"))</f>
        <v/>
      </c>
      <c r="T38">
        <f>IF($S38="GO","",IF($M38="FAIL","SKU format. ","")&amp;IF($N38="FAIL","Duplicate SKU. ","")&amp;IF($P38="FAIL","Landed cost is below ex-works - impossible. ","")&amp;IF($Q38="FAIL","Retail is below the floor-binding minimum. ","")&amp;IF($R38="FAIL","A published discount tier breaches the floor. ","")&amp;IF($D38="","No cost recorded - cannot be gated or published. ",""))</f>
        <v/>
      </c>
    </row>
    <row r="39">
      <c r="A39" t="inlineStr">
        <is>
          <t>UC-HOU-ROP-CTO</t>
        </is>
      </c>
      <c r="B39">
        <f>IFERROR(INDEX(LANDED_COST_BUILD!$B:$B,MATCH($A39,LANDED_COST_BUILD!$A:$A,0)),"")</f>
        <v/>
      </c>
      <c r="C39">
        <f>IFERROR(INDEX(LANDED_COST_BUILD!$C:$C,MATCH($A39,LANDED_COST_BUILD!$A:$A,0)),"")</f>
        <v/>
      </c>
      <c r="D39">
        <f>IFERROR(IF(INDEX(LANDED_COST_BUILD!$O:$O,MATCH($A39,LANDED_COST_BUILD!$A:$A,0))="","",INDEX(LANDED_COST_BUILD!$O:$O,MATCH($A39,LANDED_COST_BUILD!$A:$A,0))*FX_USD_KES),"")</f>
        <v/>
      </c>
      <c r="E39">
        <f>IFERROR(LEFT(INDEX(LANDED_COST_BUILD!$P:$P,MATCH($A39,LANDED_COST_BUILD!$A:$A,0)),FIND(" ",INDEX(LANDED_COST_BUILD!$P:$P,MATCH($A39,LANDED_COST_BUILD!$A:$A,0))&amp;" ")-1),"")</f>
        <v/>
      </c>
      <c r="F39">
        <f>IF($D39="","",ROUNDUP($D39*R4_FLOOR/MIN_TIER_RATE,0))</f>
        <v/>
      </c>
      <c r="G39">
        <f>IFERROR(INDEX('SKU with PRICES'!$M:$M,MATCH($A39,'SKU with PRICES'!$H:$H,0)),"")</f>
        <v/>
      </c>
      <c r="H39" s="106">
        <f>IF(OR($D39="",$G39=""),"",ROUND($G39/($D39*R4_FLOOR)-1,4))</f>
        <v/>
      </c>
      <c r="I39" s="106">
        <f>IF(OR($D39="",$G39=""),"",MAX(0,1-($D39*R4_FLOOR/$G39)))</f>
        <v/>
      </c>
      <c r="J39">
        <f>IFERROR(INDEX('SKU with PRICES'!$O:$O,MATCH($A39,'SKU with PRICES'!$H:$H,0)),"")</f>
        <v/>
      </c>
      <c r="K39">
        <f>IFERROR(INDEX('SKU with PRICES'!$Q:$Q,MATCH($A39,'SKU with PRICES'!$H:$H,0)),"")</f>
        <v/>
      </c>
      <c r="L39">
        <f>IFERROR(INDEX('SKU with PRICES'!$S:$S,MATCH($A39,'SKU with PRICES'!$H:$H,0)),"")</f>
        <v/>
      </c>
      <c r="M39">
        <f>IF(AND(LEFT($A39,3)="UC-",LEN($A39)&gt;=13),"PASS","FAIL")</f>
        <v/>
      </c>
      <c r="N39">
        <f>IF(COUNTIF($A$5:$A$99,$A39)=1,"PASS","FAIL")</f>
        <v/>
      </c>
      <c r="O39">
        <f>IF($E39="NONE","FAIL",IF($E39="RECORDED","WARN","PASS"))</f>
        <v/>
      </c>
      <c r="P39">
        <f>IFERROR(IF(INDEX(LANDED_COST_BUILD!$O:$O,MATCH($A39,LANDED_COST_BUILD!$A:$A,0))="","n/a",IF(INDEX(LANDED_COST_BUILD!$O:$O,MATCH($A39,LANDED_COST_BUILD!$A:$A,0))&lt;INDEX(LANDED_COST_BUILD!$G:$G,MATCH($A39,LANDED_COST_BUILD!$A:$A,0)),"FAIL","PASS")),"n/a")</f>
        <v/>
      </c>
      <c r="Q39">
        <f>IF(OR($F39="",$G39=""),"n/a",IF($G39&gt;=$F39,"PASS","FAIL"))</f>
        <v/>
      </c>
      <c r="R39">
        <f>IF($D39="","n/a",IF(AND(N($J39)&gt;=$D39*R4_FLOOR,N($K39)&gt;=$D39*R4_FLOOR,N($L39)&gt;=$D39*R4_FLOOR),"PASS","FAIL"))</f>
        <v/>
      </c>
      <c r="S39">
        <f>IF(COUNTIF($M39:$R39,"FAIL")&gt;0,"BLOCKED",IF($D39="","HOLD - no cost","GO"))</f>
        <v/>
      </c>
      <c r="T39">
        <f>IF($S39="GO","",IF($M39="FAIL","SKU format. ","")&amp;IF($N39="FAIL","Duplicate SKU. ","")&amp;IF($P39="FAIL","Landed cost is below ex-works - impossible. ","")&amp;IF($Q39="FAIL","Retail is below the floor-binding minimum. ","")&amp;IF($R39="FAIL","A published discount tier breaches the floor. ","")&amp;IF($D39="","No cost recorded - cannot be gated or published. ",""))</f>
        <v/>
      </c>
    </row>
    <row r="40">
      <c r="A40" t="inlineStr">
        <is>
          <t>UC-HOU-ROM-100g</t>
        </is>
      </c>
      <c r="B40">
        <f>IFERROR(INDEX(LANDED_COST_BUILD!$B:$B,MATCH($A40,LANDED_COST_BUILD!$A:$A,0)),"")</f>
        <v/>
      </c>
      <c r="C40">
        <f>IFERROR(INDEX(LANDED_COST_BUILD!$C:$C,MATCH($A40,LANDED_COST_BUILD!$A:$A,0)),"")</f>
        <v/>
      </c>
      <c r="D40">
        <f>IFERROR(IF(INDEX(LANDED_COST_BUILD!$O:$O,MATCH($A40,LANDED_COST_BUILD!$A:$A,0))="","",INDEX(LANDED_COST_BUILD!$O:$O,MATCH($A40,LANDED_COST_BUILD!$A:$A,0))*FX_USD_KES),"")</f>
        <v/>
      </c>
      <c r="E40">
        <f>IFERROR(LEFT(INDEX(LANDED_COST_BUILD!$P:$P,MATCH($A40,LANDED_COST_BUILD!$A:$A,0)),FIND(" ",INDEX(LANDED_COST_BUILD!$P:$P,MATCH($A40,LANDED_COST_BUILD!$A:$A,0))&amp;" ")-1),"")</f>
        <v/>
      </c>
      <c r="F40">
        <f>IF($D40="","",ROUNDUP($D40*R4_FLOOR/MIN_TIER_RATE,0))</f>
        <v/>
      </c>
      <c r="G40">
        <f>IFERROR(INDEX('SKU with PRICES'!$M:$M,MATCH($A40,'SKU with PRICES'!$H:$H,0)),"")</f>
        <v/>
      </c>
      <c r="H40" s="106">
        <f>IF(OR($D40="",$G40=""),"",ROUND($G40/($D40*R4_FLOOR)-1,4))</f>
        <v/>
      </c>
      <c r="I40" s="106">
        <f>IF(OR($D40="",$G40=""),"",MAX(0,1-($D40*R4_FLOOR/$G40)))</f>
        <v/>
      </c>
      <c r="J40">
        <f>IFERROR(INDEX('SKU with PRICES'!$O:$O,MATCH($A40,'SKU with PRICES'!$H:$H,0)),"")</f>
        <v/>
      </c>
      <c r="K40">
        <f>IFERROR(INDEX('SKU with PRICES'!$Q:$Q,MATCH($A40,'SKU with PRICES'!$H:$H,0)),"")</f>
        <v/>
      </c>
      <c r="L40">
        <f>IFERROR(INDEX('SKU with PRICES'!$S:$S,MATCH($A40,'SKU with PRICES'!$H:$H,0)),"")</f>
        <v/>
      </c>
      <c r="M40">
        <f>IF(AND(LEFT($A40,3)="UC-",LEN($A40)&gt;=13),"PASS","FAIL")</f>
        <v/>
      </c>
      <c r="N40">
        <f>IF(COUNTIF($A$5:$A$99,$A40)=1,"PASS","FAIL")</f>
        <v/>
      </c>
      <c r="O40">
        <f>IF($E40="NONE","FAIL",IF($E40="RECORDED","WARN","PASS"))</f>
        <v/>
      </c>
      <c r="P40">
        <f>IFERROR(IF(INDEX(LANDED_COST_BUILD!$O:$O,MATCH($A40,LANDED_COST_BUILD!$A:$A,0))="","n/a",IF(INDEX(LANDED_COST_BUILD!$O:$O,MATCH($A40,LANDED_COST_BUILD!$A:$A,0))&lt;INDEX(LANDED_COST_BUILD!$G:$G,MATCH($A40,LANDED_COST_BUILD!$A:$A,0)),"FAIL","PASS")),"n/a")</f>
        <v/>
      </c>
      <c r="Q40">
        <f>IF(OR($F40="",$G40=""),"n/a",IF($G40&gt;=$F40,"PASS","FAIL"))</f>
        <v/>
      </c>
      <c r="R40">
        <f>IF($D40="","n/a",IF(AND(N($J40)&gt;=$D40*R4_FLOOR,N($K40)&gt;=$D40*R4_FLOOR,N($L40)&gt;=$D40*R4_FLOOR),"PASS","FAIL"))</f>
        <v/>
      </c>
      <c r="S40">
        <f>IF(COUNTIF($M40:$R40,"FAIL")&gt;0,"BLOCKED",IF($D40="","HOLD - no cost","GO"))</f>
        <v/>
      </c>
      <c r="T40">
        <f>IF($S40="GO","",IF($M40="FAIL","SKU format. ","")&amp;IF($N40="FAIL","Duplicate SKU. ","")&amp;IF($P40="FAIL","Landed cost is below ex-works - impossible. ","")&amp;IF($Q40="FAIL","Retail is below the floor-binding minimum. ","")&amp;IF($R40="FAIL","A published discount tier breaches the floor. ","")&amp;IF($D40="","No cost recorded - cannot be gated or published. ",""))</f>
        <v/>
      </c>
    </row>
    <row r="41">
      <c r="A41" t="inlineStr">
        <is>
          <t>UC-HOU-RO-YMT33</t>
        </is>
      </c>
      <c r="B41">
        <f>IFERROR(INDEX(LANDED_COST_BUILD!$B:$B,MATCH($A41,LANDED_COST_BUILD!$A:$A,0)),"")</f>
        <v/>
      </c>
      <c r="C41">
        <f>IFERROR(INDEX(LANDED_COST_BUILD!$C:$C,MATCH($A41,LANDED_COST_BUILD!$A:$A,0)),"")</f>
        <v/>
      </c>
      <c r="D41">
        <f>IFERROR(IF(INDEX(LANDED_COST_BUILD!$O:$O,MATCH($A41,LANDED_COST_BUILD!$A:$A,0))="","",INDEX(LANDED_COST_BUILD!$O:$O,MATCH($A41,LANDED_COST_BUILD!$A:$A,0))*FX_USD_KES),"")</f>
        <v/>
      </c>
      <c r="E41">
        <f>IFERROR(LEFT(INDEX(LANDED_COST_BUILD!$P:$P,MATCH($A41,LANDED_COST_BUILD!$A:$A,0)),FIND(" ",INDEX(LANDED_COST_BUILD!$P:$P,MATCH($A41,LANDED_COST_BUILD!$A:$A,0))&amp;" ")-1),"")</f>
        <v/>
      </c>
      <c r="F41">
        <f>IF($D41="","",ROUNDUP($D41*R4_FLOOR/MIN_TIER_RATE,0))</f>
        <v/>
      </c>
      <c r="G41">
        <f>IFERROR(INDEX('SKU with PRICES'!$M:$M,MATCH($A41,'SKU with PRICES'!$H:$H,0)),"")</f>
        <v/>
      </c>
      <c r="H41" s="106">
        <f>IF(OR($D41="",$G41=""),"",ROUND($G41/($D41*R4_FLOOR)-1,4))</f>
        <v/>
      </c>
      <c r="I41" s="106">
        <f>IF(OR($D41="",$G41=""),"",MAX(0,1-($D41*R4_FLOOR/$G41)))</f>
        <v/>
      </c>
      <c r="J41">
        <f>IFERROR(INDEX('SKU with PRICES'!$O:$O,MATCH($A41,'SKU with PRICES'!$H:$H,0)),"")</f>
        <v/>
      </c>
      <c r="K41">
        <f>IFERROR(INDEX('SKU with PRICES'!$Q:$Q,MATCH($A41,'SKU with PRICES'!$H:$H,0)),"")</f>
        <v/>
      </c>
      <c r="L41">
        <f>IFERROR(INDEX('SKU with PRICES'!$S:$S,MATCH($A41,'SKU with PRICES'!$H:$H,0)),"")</f>
        <v/>
      </c>
      <c r="M41">
        <f>IF(AND(LEFT($A41,3)="UC-",LEN($A41)&gt;=13),"PASS","FAIL")</f>
        <v/>
      </c>
      <c r="N41">
        <f>IF(COUNTIF($A$5:$A$99,$A41)=1,"PASS","FAIL")</f>
        <v/>
      </c>
      <c r="O41">
        <f>IF($E41="NONE","FAIL",IF($E41="RECORDED","WARN","PASS"))</f>
        <v/>
      </c>
      <c r="P41">
        <f>IFERROR(IF(INDEX(LANDED_COST_BUILD!$O:$O,MATCH($A41,LANDED_COST_BUILD!$A:$A,0))="","n/a",IF(INDEX(LANDED_COST_BUILD!$O:$O,MATCH($A41,LANDED_COST_BUILD!$A:$A,0))&lt;INDEX(LANDED_COST_BUILD!$G:$G,MATCH($A41,LANDED_COST_BUILD!$A:$A,0)),"FAIL","PASS")),"n/a")</f>
        <v/>
      </c>
      <c r="Q41">
        <f>IF(OR($F41="",$G41=""),"n/a",IF($G41&gt;=$F41,"PASS","FAIL"))</f>
        <v/>
      </c>
      <c r="R41">
        <f>IF($D41="","n/a",IF(AND(N($J41)&gt;=$D41*R4_FLOOR,N($K41)&gt;=$D41*R4_FLOOR,N($L41)&gt;=$D41*R4_FLOOR),"PASS","FAIL"))</f>
        <v/>
      </c>
      <c r="S41">
        <f>IF(COUNTIF($M41:$R41,"FAIL")&gt;0,"BLOCKED",IF($D41="","HOLD - no cost","GO"))</f>
        <v/>
      </c>
      <c r="T41">
        <f>IF($S41="GO","",IF($M41="FAIL","SKU format. ","")&amp;IF($N41="FAIL","Duplicate SKU. ","")&amp;IF($P41="FAIL","Landed cost is below ex-works - impossible. ","")&amp;IF($Q41="FAIL","Retail is below the floor-binding minimum. ","")&amp;IF($R41="FAIL","A published discount tier breaches the floor. ","")&amp;IF($D41="","No cost recorded - cannot be gated or published. ",""))</f>
        <v/>
      </c>
    </row>
    <row r="42">
      <c r="A42" t="inlineStr">
        <is>
          <t>UC-HOU-RO-CBT33</t>
        </is>
      </c>
      <c r="B42">
        <f>IFERROR(INDEX(LANDED_COST_BUILD!$B:$B,MATCH($A42,LANDED_COST_BUILD!$A:$A,0)),"")</f>
        <v/>
      </c>
      <c r="C42">
        <f>IFERROR(INDEX(LANDED_COST_BUILD!$C:$C,MATCH($A42,LANDED_COST_BUILD!$A:$A,0)),"")</f>
        <v/>
      </c>
      <c r="D42">
        <f>IFERROR(IF(INDEX(LANDED_COST_BUILD!$O:$O,MATCH($A42,LANDED_COST_BUILD!$A:$A,0))="","",INDEX(LANDED_COST_BUILD!$O:$O,MATCH($A42,LANDED_COST_BUILD!$A:$A,0))*FX_USD_KES),"")</f>
        <v/>
      </c>
      <c r="E42">
        <f>IFERROR(LEFT(INDEX(LANDED_COST_BUILD!$P:$P,MATCH($A42,LANDED_COST_BUILD!$A:$A,0)),FIND(" ",INDEX(LANDED_COST_BUILD!$P:$P,MATCH($A42,LANDED_COST_BUILD!$A:$A,0))&amp;" ")-1),"")</f>
        <v/>
      </c>
      <c r="F42">
        <f>IF($D42="","",ROUNDUP($D42*R4_FLOOR/MIN_TIER_RATE,0))</f>
        <v/>
      </c>
      <c r="G42">
        <f>IFERROR(INDEX('SKU with PRICES'!$M:$M,MATCH($A42,'SKU with PRICES'!$H:$H,0)),"")</f>
        <v/>
      </c>
      <c r="H42" s="106">
        <f>IF(OR($D42="",$G42=""),"",ROUND($G42/($D42*R4_FLOOR)-1,4))</f>
        <v/>
      </c>
      <c r="I42" s="106">
        <f>IF(OR($D42="",$G42=""),"",MAX(0,1-($D42*R4_FLOOR/$G42)))</f>
        <v/>
      </c>
      <c r="J42">
        <f>IFERROR(INDEX('SKU with PRICES'!$O:$O,MATCH($A42,'SKU with PRICES'!$H:$H,0)),"")</f>
        <v/>
      </c>
      <c r="K42">
        <f>IFERROR(INDEX('SKU with PRICES'!$Q:$Q,MATCH($A42,'SKU with PRICES'!$H:$H,0)),"")</f>
        <v/>
      </c>
      <c r="L42">
        <f>IFERROR(INDEX('SKU with PRICES'!$S:$S,MATCH($A42,'SKU with PRICES'!$H:$H,0)),"")</f>
        <v/>
      </c>
      <c r="M42">
        <f>IF(AND(LEFT($A42,3)="UC-",LEN($A42)&gt;=13),"PASS","FAIL")</f>
        <v/>
      </c>
      <c r="N42">
        <f>IF(COUNTIF($A$5:$A$99,$A42)=1,"PASS","FAIL")</f>
        <v/>
      </c>
      <c r="O42">
        <f>IF($E42="NONE","FAIL",IF($E42="RECORDED","WARN","PASS"))</f>
        <v/>
      </c>
      <c r="P42">
        <f>IFERROR(IF(INDEX(LANDED_COST_BUILD!$O:$O,MATCH($A42,LANDED_COST_BUILD!$A:$A,0))="","n/a",IF(INDEX(LANDED_COST_BUILD!$O:$O,MATCH($A42,LANDED_COST_BUILD!$A:$A,0))&lt;INDEX(LANDED_COST_BUILD!$G:$G,MATCH($A42,LANDED_COST_BUILD!$A:$A,0)),"FAIL","PASS")),"n/a")</f>
        <v/>
      </c>
      <c r="Q42">
        <f>IF(OR($F42="",$G42=""),"n/a",IF($G42&gt;=$F42,"PASS","FAIL"))</f>
        <v/>
      </c>
      <c r="R42">
        <f>IF($D42="","n/a",IF(AND(N($J42)&gt;=$D42*R4_FLOOR,N($K42)&gt;=$D42*R4_FLOOR,N($L42)&gt;=$D42*R4_FLOOR),"PASS","FAIL"))</f>
        <v/>
      </c>
      <c r="S42">
        <f>IF(COUNTIF($M42:$R42,"FAIL")&gt;0,"BLOCKED",IF($D42="","HOLD - no cost","GO"))</f>
        <v/>
      </c>
      <c r="T42">
        <f>IF($S42="GO","",IF($M42="FAIL","SKU format. ","")&amp;IF($N42="FAIL","Duplicate SKU. ","")&amp;IF($P42="FAIL","Landed cost is below ex-works - impossible. ","")&amp;IF($Q42="FAIL","Retail is below the floor-binding minimum. ","")&amp;IF($R42="FAIL","A published discount tier breaches the floor. ","")&amp;IF($D42="","No cost recorded - cannot be gated or published. ",""))</f>
        <v/>
      </c>
    </row>
    <row r="43">
      <c r="A43" t="inlineStr">
        <is>
          <t>UC-BOG-ECO-ECF1</t>
        </is>
      </c>
      <c r="B43">
        <f>IFERROR(INDEX(LANDED_COST_BUILD!$B:$B,MATCH($A43,LANDED_COST_BUILD!$A:$A,0)),"")</f>
        <v/>
      </c>
      <c r="C43">
        <f>IFERROR(INDEX(LANDED_COST_BUILD!$C:$C,MATCH($A43,LANDED_COST_BUILD!$A:$A,0)),"")</f>
        <v/>
      </c>
      <c r="D43">
        <f>IFERROR(IF(INDEX(LANDED_COST_BUILD!$O:$O,MATCH($A43,LANDED_COST_BUILD!$A:$A,0))="","",INDEX(LANDED_COST_BUILD!$O:$O,MATCH($A43,LANDED_COST_BUILD!$A:$A,0))*FX_USD_KES),"")</f>
        <v/>
      </c>
      <c r="E43">
        <f>IFERROR(LEFT(INDEX(LANDED_COST_BUILD!$P:$P,MATCH($A43,LANDED_COST_BUILD!$A:$A,0)),FIND(" ",INDEX(LANDED_COST_BUILD!$P:$P,MATCH($A43,LANDED_COST_BUILD!$A:$A,0))&amp;" ")-1),"")</f>
        <v/>
      </c>
      <c r="F43">
        <f>IF($D43="","",ROUNDUP($D43*R4_FLOOR/MIN_TIER_RATE,0))</f>
        <v/>
      </c>
      <c r="G43">
        <f>IFERROR(INDEX('SKU with PRICES'!$M:$M,MATCH($A43,'SKU with PRICES'!$H:$H,0)),"")</f>
        <v/>
      </c>
      <c r="H43" s="106">
        <f>IF(OR($D43="",$G43=""),"",ROUND($G43/($D43*R4_FLOOR)-1,4))</f>
        <v/>
      </c>
      <c r="I43" s="106">
        <f>IF(OR($D43="",$G43=""),"",MAX(0,1-($D43*R4_FLOOR/$G43)))</f>
        <v/>
      </c>
      <c r="J43">
        <f>IFERROR(INDEX('SKU with PRICES'!$O:$O,MATCH($A43,'SKU with PRICES'!$H:$H,0)),"")</f>
        <v/>
      </c>
      <c r="K43">
        <f>IFERROR(INDEX('SKU with PRICES'!$Q:$Q,MATCH($A43,'SKU with PRICES'!$H:$H,0)),"")</f>
        <v/>
      </c>
      <c r="L43">
        <f>IFERROR(INDEX('SKU with PRICES'!$S:$S,MATCH($A43,'SKU with PRICES'!$H:$H,0)),"")</f>
        <v/>
      </c>
      <c r="M43">
        <f>IF(AND(LEFT($A43,3)="UC-",LEN($A43)&gt;=13),"PASS","FAIL")</f>
        <v/>
      </c>
      <c r="N43">
        <f>IF(COUNTIF($A$5:$A$99,$A43)=1,"PASS","FAIL")</f>
        <v/>
      </c>
      <c r="O43">
        <f>IF($E43="NONE","FAIL",IF($E43="RECORDED","WARN","PASS"))</f>
        <v/>
      </c>
      <c r="P43">
        <f>IFERROR(IF(INDEX(LANDED_COST_BUILD!$O:$O,MATCH($A43,LANDED_COST_BUILD!$A:$A,0))="","n/a",IF(INDEX(LANDED_COST_BUILD!$O:$O,MATCH($A43,LANDED_COST_BUILD!$A:$A,0))&lt;INDEX(LANDED_COST_BUILD!$G:$G,MATCH($A43,LANDED_COST_BUILD!$A:$A,0)),"FAIL","PASS")),"n/a")</f>
        <v/>
      </c>
      <c r="Q43">
        <f>IF(OR($F43="",$G43=""),"n/a",IF($G43&gt;=$F43,"PASS","FAIL"))</f>
        <v/>
      </c>
      <c r="R43">
        <f>IF($D43="","n/a",IF(AND(N($J43)&gt;=$D43*R4_FLOOR,N($K43)&gt;=$D43*R4_FLOOR,N($L43)&gt;=$D43*R4_FLOOR),"PASS","FAIL"))</f>
        <v/>
      </c>
      <c r="S43">
        <f>IF(COUNTIF($M43:$R43,"FAIL")&gt;0,"BLOCKED",IF($D43="","HOLD - no cost","GO"))</f>
        <v/>
      </c>
      <c r="T43">
        <f>IF($S43="GO","",IF($M43="FAIL","SKU format. ","")&amp;IF($N43="FAIL","Duplicate SKU. ","")&amp;IF($P43="FAIL","Landed cost is below ex-works - impossible. ","")&amp;IF($Q43="FAIL","Retail is below the floor-binding minimum. ","")&amp;IF($R43="FAIL","A published discount tier breaches the floor. ","")&amp;IF($D43="","No cost recorded - cannot be gated or published. ",""))</f>
        <v/>
      </c>
    </row>
    <row r="44">
      <c r="A44" t="inlineStr">
        <is>
          <t>UC-HOU-ROT-029</t>
        </is>
      </c>
      <c r="B44">
        <f>IFERROR(INDEX(LANDED_COST_BUILD!$B:$B,MATCH($A44,LANDED_COST_BUILD!$A:$A,0)),"")</f>
        <v/>
      </c>
      <c r="C44">
        <f>IFERROR(INDEX(LANDED_COST_BUILD!$C:$C,MATCH($A44,LANDED_COST_BUILD!$A:$A,0)),"")</f>
        <v/>
      </c>
      <c r="D44">
        <f>IFERROR(IF(INDEX(LANDED_COST_BUILD!$O:$O,MATCH($A44,LANDED_COST_BUILD!$A:$A,0))="","",INDEX(LANDED_COST_BUILD!$O:$O,MATCH($A44,LANDED_COST_BUILD!$A:$A,0))*FX_USD_KES),"")</f>
        <v/>
      </c>
      <c r="E44">
        <f>IFERROR(LEFT(INDEX(LANDED_COST_BUILD!$P:$P,MATCH($A44,LANDED_COST_BUILD!$A:$A,0)),FIND(" ",INDEX(LANDED_COST_BUILD!$P:$P,MATCH($A44,LANDED_COST_BUILD!$A:$A,0))&amp;" ")-1),"")</f>
        <v/>
      </c>
      <c r="F44">
        <f>IF($D44="","",ROUNDUP($D44*R4_FLOOR/MIN_TIER_RATE,0))</f>
        <v/>
      </c>
      <c r="G44">
        <f>IFERROR(INDEX('SKU with PRICES'!$M:$M,MATCH($A44,'SKU with PRICES'!$H:$H,0)),"")</f>
        <v/>
      </c>
      <c r="H44" s="106">
        <f>IF(OR($D44="",$G44=""),"",ROUND($G44/($D44*R4_FLOOR)-1,4))</f>
        <v/>
      </c>
      <c r="I44" s="106">
        <f>IF(OR($D44="",$G44=""),"",MAX(0,1-($D44*R4_FLOOR/$G44)))</f>
        <v/>
      </c>
      <c r="J44">
        <f>IFERROR(INDEX('SKU with PRICES'!$O:$O,MATCH($A44,'SKU with PRICES'!$H:$H,0)),"")</f>
        <v/>
      </c>
      <c r="K44">
        <f>IFERROR(INDEX('SKU with PRICES'!$Q:$Q,MATCH($A44,'SKU with PRICES'!$H:$H,0)),"")</f>
        <v/>
      </c>
      <c r="L44">
        <f>IFERROR(INDEX('SKU with PRICES'!$S:$S,MATCH($A44,'SKU with PRICES'!$H:$H,0)),"")</f>
        <v/>
      </c>
      <c r="M44">
        <f>IF(AND(LEFT($A44,3)="UC-",LEN($A44)&gt;=13),"PASS","FAIL")</f>
        <v/>
      </c>
      <c r="N44">
        <f>IF(COUNTIF($A$5:$A$99,$A44)=1,"PASS","FAIL")</f>
        <v/>
      </c>
      <c r="O44">
        <f>IF($E44="NONE","FAIL",IF($E44="RECORDED","WARN","PASS"))</f>
        <v/>
      </c>
      <c r="P44">
        <f>IFERROR(IF(INDEX(LANDED_COST_BUILD!$O:$O,MATCH($A44,LANDED_COST_BUILD!$A:$A,0))="","n/a",IF(INDEX(LANDED_COST_BUILD!$O:$O,MATCH($A44,LANDED_COST_BUILD!$A:$A,0))&lt;INDEX(LANDED_COST_BUILD!$G:$G,MATCH($A44,LANDED_COST_BUILD!$A:$A,0)),"FAIL","PASS")),"n/a")</f>
        <v/>
      </c>
      <c r="Q44">
        <f>IF(OR($F44="",$G44=""),"n/a",IF($G44&gt;=$F44,"PASS","FAIL"))</f>
        <v/>
      </c>
      <c r="R44">
        <f>IF($D44="","n/a",IF(AND(N($J44)&gt;=$D44*R4_FLOOR,N($K44)&gt;=$D44*R4_FLOOR,N($L44)&gt;=$D44*R4_FLOOR),"PASS","FAIL"))</f>
        <v/>
      </c>
      <c r="S44">
        <f>IF(COUNTIF($M44:$R44,"FAIL")&gt;0,"BLOCKED",IF($D44="","HOLD - no cost","GO"))</f>
        <v/>
      </c>
      <c r="T44">
        <f>IF($S44="GO","",IF($M44="FAIL","SKU format. ","")&amp;IF($N44="FAIL","Duplicate SKU. ","")&amp;IF($P44="FAIL","Landed cost is below ex-works - impossible. ","")&amp;IF($Q44="FAIL","Retail is below the floor-binding minimum. ","")&amp;IF($R44="FAIL","A published discount tier breaches the floor. ","")&amp;IF($D44="","No cost recorded - cannot be gated or published. ",""))</f>
        <v/>
      </c>
    </row>
    <row r="46">
      <c r="A46" s="88" t="inlineStr">
        <is>
          <t>SUMMARY</t>
        </is>
      </c>
    </row>
    <row r="47">
      <c r="A47" t="inlineStr">
        <is>
          <t>GO</t>
        </is>
      </c>
      <c r="B47" s="88">
        <f>COUNTIF($S$5:$S$44,"GO")</f>
        <v/>
      </c>
    </row>
    <row r="48">
      <c r="A48" t="inlineStr">
        <is>
          <t>BLOCKED</t>
        </is>
      </c>
      <c r="B48" s="88">
        <f>COUNTIF($S$5:$S$44,"BLOCKED")</f>
        <v/>
      </c>
    </row>
    <row r="49">
      <c r="A49" t="inlineStr">
        <is>
          <t>HOLD - no cost</t>
        </is>
      </c>
      <c r="B49" s="88">
        <f>COUNTIF($S$5:$S$44,"HOLD - no cost")</f>
        <v/>
      </c>
    </row>
  </sheetData>
  <conditionalFormatting sqref="J5:J43">
    <cfRule type="cellIs" priority="1" operator="equal" dxfId="34">
      <formula>"FAIL"</formula>
    </cfRule>
    <cfRule type="cellIs" priority="2" operator="equal" dxfId="35">
      <formula>"PASS"</formula>
    </cfRule>
  </conditionalFormatting>
  <conditionalFormatting sqref="K5:K43">
    <cfRule type="cellIs" priority="3" operator="equal" dxfId="34">
      <formula>"FAIL"</formula>
    </cfRule>
    <cfRule type="cellIs" priority="4" operator="equal" dxfId="35">
      <formula>"PASS"</formula>
    </cfRule>
  </conditionalFormatting>
  <conditionalFormatting sqref="L5:L43">
    <cfRule type="cellIs" priority="5" operator="equal" dxfId="34">
      <formula>"FAIL"</formula>
    </cfRule>
    <cfRule type="cellIs" priority="6" operator="equal" dxfId="35">
      <formula>"PASS"</formula>
    </cfRule>
  </conditionalFormatting>
  <conditionalFormatting sqref="M5:M43">
    <cfRule type="cellIs" priority="7" operator="equal" dxfId="34">
      <formula>"FAIL"</formula>
    </cfRule>
    <cfRule type="cellIs" priority="8" operator="equal" dxfId="35">
      <formula>"PASS"</formula>
    </cfRule>
    <cfRule type="cellIs" priority="15" operator="equal" dxfId="34">
      <formula>"FAIL"</formula>
    </cfRule>
    <cfRule type="cellIs" priority="16" operator="equal" dxfId="35">
      <formula>"PASS"</formula>
    </cfRule>
  </conditionalFormatting>
  <conditionalFormatting sqref="N5:N43">
    <cfRule type="cellIs" priority="9" operator="equal" dxfId="34">
      <formula>"FAIL"</formula>
    </cfRule>
    <cfRule type="cellIs" priority="10" operator="equal" dxfId="35">
      <formula>"PASS"</formula>
    </cfRule>
    <cfRule type="cellIs" priority="17" operator="equal" dxfId="34">
      <formula>"FAIL"</formula>
    </cfRule>
    <cfRule type="cellIs" priority="18" operator="equal" dxfId="35">
      <formula>"PASS"</formula>
    </cfRule>
  </conditionalFormatting>
  <conditionalFormatting sqref="O5:O43">
    <cfRule type="cellIs" priority="11" operator="equal" dxfId="34">
      <formula>"FAIL"</formula>
    </cfRule>
    <cfRule type="cellIs" priority="12" operator="equal" dxfId="35">
      <formula>"PASS"</formula>
    </cfRule>
    <cfRule type="cellIs" priority="19" operator="equal" dxfId="34">
      <formula>"FAIL"</formula>
    </cfRule>
    <cfRule type="cellIs" priority="20" operator="equal" dxfId="35">
      <formula>"PASS"</formula>
    </cfRule>
  </conditionalFormatting>
  <conditionalFormatting sqref="P5:P43">
    <cfRule type="cellIs" priority="13" operator="equal" dxfId="36">
      <formula>"GO"</formula>
    </cfRule>
    <cfRule type="cellIs" priority="14" operator="equal" dxfId="34">
      <formula>"BLOCKED"</formula>
    </cfRule>
    <cfRule type="cellIs" priority="21" operator="equal" dxfId="34">
      <formula>"FAIL"</formula>
    </cfRule>
    <cfRule type="cellIs" priority="22" operator="equal" dxfId="35">
      <formula>"PASS"</formula>
    </cfRule>
  </conditionalFormatting>
  <conditionalFormatting sqref="Q5:Q43">
    <cfRule type="cellIs" priority="23" operator="equal" dxfId="34">
      <formula>"FAIL"</formula>
    </cfRule>
    <cfRule type="cellIs" priority="24" operator="equal" dxfId="35">
      <formula>"PASS"</formula>
    </cfRule>
  </conditionalFormatting>
  <conditionalFormatting sqref="R5:R43">
    <cfRule type="cellIs" priority="25" operator="equal" dxfId="34">
      <formula>"FAIL"</formula>
    </cfRule>
    <cfRule type="cellIs" priority="26" operator="equal" dxfId="35">
      <formula>"PASS"</formula>
    </cfRule>
  </conditionalFormatting>
  <conditionalFormatting sqref="S5:S43">
    <cfRule type="cellIs" priority="27" operator="equal" dxfId="36">
      <formula>"GO"</formula>
    </cfRule>
    <cfRule type="cellIs" priority="28" operator="equal" dxfId="34">
      <formula>"BLOCKED"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showGridLines="0" view="pageBreakPreview" topLeftCell="A5" zoomScaleNormal="100" workbookViewId="0">
      <selection activeCell="B7" sqref="B7:B31"/>
    </sheetView>
  </sheetViews>
  <sheetFormatPr baseColWidth="8" defaultColWidth="8.88671875" defaultRowHeight="14.4"/>
  <cols>
    <col width="9.88671875" customWidth="1" style="6" min="1" max="1"/>
    <col width="19.77734375" customWidth="1" style="6" min="2" max="3"/>
    <col width="8.88671875" customWidth="1" style="6" min="4" max="7"/>
    <col width="6.44140625" customWidth="1" style="6" min="8" max="10"/>
    <col width="10.6640625" customWidth="1" style="6" min="11" max="11"/>
    <col width="7.77734375" customWidth="1" style="6" min="12" max="12"/>
    <col width="9.21875" customWidth="1" style="6" min="13" max="13"/>
    <col width="8.88671875" customWidth="1" style="6" min="14" max="16384"/>
  </cols>
  <sheetData>
    <row r="1" ht="36.6" customHeight="1">
      <c r="A1" s="31" t="inlineStr">
        <is>
          <t>Guangzhou Begreat Smart Life Co., Ltd.</t>
        </is>
      </c>
      <c r="B1" s="84" t="n"/>
      <c r="C1" s="84" t="n"/>
      <c r="D1" s="84" t="n"/>
      <c r="E1" s="84" t="n"/>
      <c r="F1" s="84" t="n"/>
      <c r="G1" s="84" t="n"/>
      <c r="H1" s="84" t="n"/>
      <c r="I1" s="84" t="n"/>
      <c r="J1" s="84" t="n"/>
      <c r="K1" s="84" t="n"/>
      <c r="L1" s="84" t="n"/>
      <c r="M1" s="85" t="n"/>
    </row>
    <row r="2" ht="15.6" customHeight="1">
      <c r="A2" s="32" t="inlineStr">
        <is>
          <t>Room 2104, No. 3 Jinhuan Street, Nansha Street, Nansha District, Guangzhou, Guangdong, China.</t>
        </is>
      </c>
      <c r="B2" s="84" t="n"/>
      <c r="C2" s="84" t="n"/>
      <c r="D2" s="84" t="n"/>
      <c r="E2" s="84" t="n"/>
      <c r="F2" s="84" t="n"/>
      <c r="G2" s="84" t="n"/>
      <c r="H2" s="84" t="n"/>
      <c r="I2" s="84" t="n"/>
      <c r="J2" s="84" t="n"/>
      <c r="K2" s="84" t="n"/>
      <c r="L2" s="84" t="n"/>
      <c r="M2" s="85" t="n"/>
    </row>
    <row r="3" ht="15.6" customHeight="1">
      <c r="A3" s="32" t="inlineStr">
        <is>
          <t>Contact: Jack   Tel: +86 136 8221 8884    E-mail: jack@begreat001.com</t>
        </is>
      </c>
      <c r="B3" s="84" t="n"/>
      <c r="C3" s="84" t="n"/>
      <c r="D3" s="84" t="n"/>
      <c r="E3" s="84" t="n"/>
      <c r="F3" s="84" t="n"/>
      <c r="G3" s="84" t="n"/>
      <c r="H3" s="84" t="n"/>
      <c r="I3" s="84" t="n"/>
      <c r="J3" s="84" t="n"/>
      <c r="K3" s="84" t="n"/>
      <c r="L3" s="84" t="n"/>
      <c r="M3" s="85" t="n"/>
    </row>
    <row r="4" ht="25.8" customHeight="1">
      <c r="A4" s="33" t="inlineStr">
        <is>
          <t>Packing List</t>
        </is>
      </c>
      <c r="B4" s="84" t="n"/>
      <c r="C4" s="84" t="n"/>
      <c r="D4" s="84" t="n"/>
      <c r="E4" s="84" t="n"/>
      <c r="F4" s="84" t="n"/>
      <c r="G4" s="84" t="n"/>
      <c r="H4" s="84" t="n"/>
      <c r="I4" s="84" t="n"/>
      <c r="J4" s="84" t="n"/>
      <c r="K4" s="84" t="n"/>
      <c r="L4" s="84" t="n"/>
      <c r="M4" s="85" t="n"/>
    </row>
    <row r="5" ht="118.95" customHeight="1">
      <c r="A5" s="23" t="inlineStr">
        <is>
          <t>Buyer</t>
        </is>
      </c>
      <c r="B5" s="34" t="inlineStr">
        <is>
          <t>J&amp;I ULTRAL SUPPLIES
Jerry Royce
C/o Nii Ashe Bruce 
#49 THB Estate .
Kijitonyama,Dar es Salam,Tanzania
(+255) 746635555,0686791479
Sales@ucfilters.com</t>
        </is>
      </c>
      <c r="C5" s="84" t="n"/>
      <c r="D5" s="84" t="n"/>
      <c r="E5" s="84" t="n"/>
      <c r="F5" s="84" t="n"/>
      <c r="G5" s="84" t="n"/>
      <c r="H5" s="84" t="n"/>
      <c r="I5" s="84" t="n"/>
      <c r="J5" s="84" t="n"/>
      <c r="K5" s="84" t="n"/>
      <c r="L5" s="84" t="n"/>
      <c r="M5" s="85" t="n"/>
    </row>
    <row r="6" ht="43.2" customHeight="1">
      <c r="A6" s="22" t="n"/>
      <c r="B6" s="12" t="inlineStr">
        <is>
          <t>Model</t>
        </is>
      </c>
      <c r="C6" s="12" t="inlineStr">
        <is>
          <t>Modeel Sku</t>
        </is>
      </c>
      <c r="D6" s="9" t="inlineStr">
        <is>
          <t>Total Q'ty(pcs)</t>
        </is>
      </c>
      <c r="E6" s="9" t="inlineStr">
        <is>
          <t>N.W/Ctn
(Kgs)</t>
        </is>
      </c>
      <c r="F6" s="9" t="inlineStr">
        <is>
          <t>G.W/Ctn
(Kgs)</t>
        </is>
      </c>
      <c r="G6" s="9" t="inlineStr">
        <is>
          <t>Q'ty/Ctn
(pcs)</t>
        </is>
      </c>
      <c r="H6" s="9" t="inlineStr">
        <is>
          <t>Carton Dimension
(CM)</t>
        </is>
      </c>
      <c r="I6" s="84" t="n"/>
      <c r="J6" s="85" t="n"/>
      <c r="K6" s="37" t="inlineStr">
        <is>
          <t>Total Cartons</t>
        </is>
      </c>
      <c r="L6" s="37" t="inlineStr">
        <is>
          <t>Total G.W.
(Kgs)</t>
        </is>
      </c>
      <c r="M6" s="9" t="inlineStr">
        <is>
          <t>Total CBM</t>
        </is>
      </c>
    </row>
    <row r="7" ht="43.05" customHeight="1">
      <c r="A7" s="18" t="n">
        <v>1</v>
      </c>
      <c r="B7" s="16" t="inlineStr">
        <is>
          <t>740ml stainless steel water filter bottle
BG-B01</t>
        </is>
      </c>
      <c r="C7" s="16" t="inlineStr">
        <is>
          <t>UC-BOG-SSB-008</t>
        </is>
      </c>
      <c r="D7" s="17" t="n">
        <v>84</v>
      </c>
      <c r="E7" s="16" t="n">
        <v>10.6</v>
      </c>
      <c r="F7" s="16" t="n">
        <v>11.5</v>
      </c>
      <c r="G7" s="16" t="n">
        <v>21</v>
      </c>
      <c r="H7" s="16" t="n">
        <v>53.5</v>
      </c>
      <c r="I7" s="16" t="n">
        <v>46</v>
      </c>
      <c r="J7" s="16" t="n">
        <v>30.5</v>
      </c>
      <c r="K7" s="15" t="n">
        <v>4</v>
      </c>
      <c r="L7" s="15">
        <f>F7*K7</f>
        <v/>
      </c>
      <c r="M7" s="14">
        <f>H7*I7*J7*K7/1000000</f>
        <v/>
      </c>
    </row>
    <row r="8" ht="43.05" customHeight="1">
      <c r="A8" s="18" t="n">
        <v>2</v>
      </c>
      <c r="B8" s="16" t="inlineStr">
        <is>
          <t>769ml tritan water filter bottle
BG-B02</t>
        </is>
      </c>
      <c r="C8" s="16" t="inlineStr">
        <is>
          <t>UC-BOG-TRB-009</t>
        </is>
      </c>
      <c r="D8" s="17" t="n">
        <v>90</v>
      </c>
      <c r="E8" s="16" t="n">
        <v>9.1</v>
      </c>
      <c r="F8" s="16" t="n">
        <v>10</v>
      </c>
      <c r="G8" s="16" t="n">
        <v>30</v>
      </c>
      <c r="H8" s="16" t="n">
        <v>53.5</v>
      </c>
      <c r="I8" s="16" t="n">
        <v>46</v>
      </c>
      <c r="J8" s="16" t="n">
        <v>30.5</v>
      </c>
      <c r="K8" s="15" t="n">
        <v>3</v>
      </c>
      <c r="L8" s="15">
        <f>F8*K8</f>
        <v/>
      </c>
      <c r="M8" s="14">
        <f>H8*I8*J8*K8/1000000</f>
        <v/>
      </c>
    </row>
    <row r="9" ht="43.05" customHeight="1">
      <c r="A9" s="86" t="n"/>
      <c r="B9" s="86" t="n"/>
      <c r="C9" s="86" t="n"/>
      <c r="D9" s="17" t="n">
        <v>60</v>
      </c>
      <c r="E9" s="16" t="n">
        <v>6.1</v>
      </c>
      <c r="F9" s="16" t="n">
        <v>7</v>
      </c>
      <c r="G9" s="16" t="n">
        <v>20</v>
      </c>
      <c r="H9" s="16" t="n">
        <v>54.5</v>
      </c>
      <c r="I9" s="16" t="n">
        <v>44</v>
      </c>
      <c r="J9" s="16" t="n">
        <v>31</v>
      </c>
      <c r="K9" s="15" t="n">
        <v>3</v>
      </c>
      <c r="L9" s="15">
        <f>F9*K9</f>
        <v/>
      </c>
      <c r="M9" s="14">
        <f>H9*I9*J9*K9/1000000</f>
        <v/>
      </c>
    </row>
    <row r="10" ht="43.05" customHeight="1">
      <c r="A10" s="18" t="n">
        <v>3</v>
      </c>
      <c r="B10" s="16" t="inlineStr">
        <is>
          <t>500ml tritan water filter bottle(black)
   BG-B06</t>
        </is>
      </c>
      <c r="C10" s="16" t="inlineStr">
        <is>
          <t>UC-BOG-TRB-010</t>
        </is>
      </c>
      <c r="D10" s="17" t="n">
        <v>84</v>
      </c>
      <c r="E10" s="16" t="n">
        <v>10.3</v>
      </c>
      <c r="F10" s="16" t="n">
        <v>11.3</v>
      </c>
      <c r="G10" s="16" t="n">
        <v>42</v>
      </c>
      <c r="H10" s="16" t="n">
        <v>51.5</v>
      </c>
      <c r="I10" s="16" t="n">
        <v>57.5</v>
      </c>
      <c r="J10" s="16" t="n">
        <v>25</v>
      </c>
      <c r="K10" s="15" t="n">
        <v>2</v>
      </c>
      <c r="L10" s="15">
        <f>F10*K10</f>
        <v/>
      </c>
      <c r="M10" s="14">
        <f>H10*I10*J10*K10/1000000</f>
        <v/>
      </c>
    </row>
    <row r="11" ht="43.05" customHeight="1">
      <c r="A11" s="87" t="n"/>
      <c r="B11" s="87" t="n"/>
      <c r="C11" s="87" t="n"/>
      <c r="D11" s="17" t="n">
        <v>6</v>
      </c>
      <c r="E11" s="16" t="n">
        <v>1.4</v>
      </c>
      <c r="F11" s="16" t="n">
        <v>2</v>
      </c>
      <c r="G11" s="16" t="n">
        <v>6</v>
      </c>
      <c r="H11" s="16" t="n">
        <v>36</v>
      </c>
      <c r="I11" s="16" t="n">
        <v>36</v>
      </c>
      <c r="J11" s="16" t="n">
        <v>17</v>
      </c>
      <c r="K11" s="15" t="n">
        <v>1</v>
      </c>
      <c r="L11" s="15">
        <f>F11*K11</f>
        <v/>
      </c>
      <c r="M11" s="14">
        <f>H11*I11*J11*K11/1000000</f>
        <v/>
      </c>
    </row>
    <row r="12" ht="43.05" customHeight="1">
      <c r="A12" s="86" t="n"/>
      <c r="B12" s="86" t="n"/>
      <c r="C12" s="86" t="n"/>
      <c r="D12" s="17" t="n">
        <v>60</v>
      </c>
      <c r="E12" s="16" t="n">
        <v>7.4</v>
      </c>
      <c r="F12" s="16" t="n">
        <v>8.4</v>
      </c>
      <c r="G12" s="16" t="n">
        <v>30</v>
      </c>
      <c r="H12" s="16" t="n">
        <v>50</v>
      </c>
      <c r="I12" s="16" t="n">
        <v>42.5</v>
      </c>
      <c r="J12" s="16" t="n">
        <v>24.5</v>
      </c>
      <c r="K12" s="15" t="n">
        <v>2</v>
      </c>
      <c r="L12" s="15">
        <f>F12*K12</f>
        <v/>
      </c>
      <c r="M12" s="14">
        <f>H12*I12*J12*K12/1000000</f>
        <v/>
      </c>
    </row>
    <row r="13" ht="43.05" customHeight="1">
      <c r="A13" s="18" t="n">
        <v>4</v>
      </c>
      <c r="B13" s="16" t="inlineStr">
        <is>
          <t>1000ml tritan water filter bottle
  BG-B09</t>
        </is>
      </c>
      <c r="C13" s="16" t="inlineStr">
        <is>
          <t>UC-BOG-TRB-011</t>
        </is>
      </c>
      <c r="D13" s="17" t="n">
        <v>100</v>
      </c>
      <c r="E13" s="16" t="n">
        <v>16.8</v>
      </c>
      <c r="F13" s="16" t="n">
        <v>17.8</v>
      </c>
      <c r="G13" s="16" t="n">
        <v>50</v>
      </c>
      <c r="H13" s="16" t="n">
        <v>50</v>
      </c>
      <c r="I13" s="16" t="n">
        <v>42.5</v>
      </c>
      <c r="J13" s="16" t="n">
        <v>24.5</v>
      </c>
      <c r="K13" s="15" t="n">
        <v>2</v>
      </c>
      <c r="L13" s="15">
        <f>F13*K13</f>
        <v/>
      </c>
      <c r="M13" s="14">
        <f>H13*I13*J13*K13/1000000</f>
        <v/>
      </c>
    </row>
    <row r="14" ht="43.05" customHeight="1">
      <c r="A14" s="86" t="n"/>
      <c r="B14" s="86" t="n"/>
      <c r="C14" s="86" t="n"/>
      <c r="D14" s="17" t="n">
        <v>20</v>
      </c>
      <c r="E14" s="16" t="n">
        <v>3.4</v>
      </c>
      <c r="F14" s="16" t="n">
        <v>4</v>
      </c>
      <c r="G14" s="16" t="n">
        <v>10</v>
      </c>
      <c r="H14" s="16" t="n">
        <v>55</v>
      </c>
      <c r="I14" s="16" t="n">
        <v>23.5</v>
      </c>
      <c r="J14" s="16" t="n">
        <v>37.5</v>
      </c>
      <c r="K14" s="15" t="n">
        <v>2</v>
      </c>
      <c r="L14" s="15">
        <f>F14*K14</f>
        <v/>
      </c>
      <c r="M14" s="14">
        <f>H14*I14*J14*K14/1000000</f>
        <v/>
      </c>
    </row>
    <row r="15" ht="43.05" customHeight="1">
      <c r="A15" s="18" t="n">
        <v>5</v>
      </c>
      <c r="B15" s="16" t="inlineStr">
        <is>
          <t>350ml collapsible water filter bottle
BG-B04</t>
        </is>
      </c>
      <c r="C15" s="16" t="inlineStr">
        <is>
          <t>UC-BOG-FLB-012</t>
        </is>
      </c>
      <c r="D15" s="17" t="n">
        <v>40</v>
      </c>
      <c r="E15" s="16" t="n">
        <v>10.3</v>
      </c>
      <c r="F15" s="16" t="n">
        <v>11.3</v>
      </c>
      <c r="G15" s="16" t="n">
        <v>40</v>
      </c>
      <c r="H15" s="16" t="n">
        <v>57</v>
      </c>
      <c r="I15" s="16" t="n">
        <v>39.5</v>
      </c>
      <c r="J15" s="16" t="n">
        <v>29.5</v>
      </c>
      <c r="K15" s="15" t="n">
        <v>1</v>
      </c>
      <c r="L15" s="15">
        <f>F15*K15</f>
        <v/>
      </c>
      <c r="M15" s="14">
        <f>H15*I15*J15*K15/1000000</f>
        <v/>
      </c>
    </row>
    <row r="16" ht="43.05" customHeight="1">
      <c r="A16" s="18" t="n">
        <v>6</v>
      </c>
      <c r="B16" s="16" t="inlineStr">
        <is>
          <t>1000ml squeeze water filter bottle
BG-B07</t>
        </is>
      </c>
      <c r="C16" s="16" t="inlineStr">
        <is>
          <t>UC-BOG-SQB-014</t>
        </is>
      </c>
      <c r="D16" s="17" t="n">
        <v>72</v>
      </c>
      <c r="E16" s="16" t="n">
        <v>10.2</v>
      </c>
      <c r="F16" s="16" t="n">
        <v>11.2</v>
      </c>
      <c r="G16" s="16" t="n">
        <v>36</v>
      </c>
      <c r="H16" s="16" t="n">
        <v>57.5</v>
      </c>
      <c r="I16" s="16" t="n">
        <v>57.5</v>
      </c>
      <c r="J16" s="16" t="n">
        <v>44.5</v>
      </c>
      <c r="K16" s="15" t="n">
        <v>2</v>
      </c>
      <c r="L16" s="15">
        <f>F16*K16</f>
        <v/>
      </c>
      <c r="M16" s="14">
        <f>H16*I16*J16*K16/1000000</f>
        <v/>
      </c>
    </row>
    <row r="17" ht="43.05" customHeight="1">
      <c r="A17" s="86" t="n"/>
      <c r="B17" s="86" t="n"/>
      <c r="C17" s="86" t="n"/>
      <c r="D17" s="17" t="n">
        <v>28</v>
      </c>
      <c r="E17" s="16" t="n">
        <v>4.1</v>
      </c>
      <c r="F17" s="16" t="n">
        <v>5.1</v>
      </c>
      <c r="G17" s="16" t="n">
        <v>14</v>
      </c>
      <c r="H17" s="16" t="n">
        <v>54</v>
      </c>
      <c r="I17" s="16" t="n">
        <v>45.5</v>
      </c>
      <c r="J17" s="16" t="n">
        <v>31</v>
      </c>
      <c r="K17" s="15" t="n">
        <v>2</v>
      </c>
      <c r="L17" s="15">
        <f>F17*K17</f>
        <v/>
      </c>
      <c r="M17" s="14">
        <f>H17*I17*J17*K17/1000000</f>
        <v/>
      </c>
    </row>
    <row r="18" ht="73.05" customHeight="1">
      <c r="A18" s="18" t="n">
        <v>7</v>
      </c>
      <c r="B18" s="16" t="inlineStr">
        <is>
          <t>straw bottle's filters+squeeze bottle's actived fiber filter
BG-F06A</t>
        </is>
      </c>
      <c r="C18" s="20" t="inlineStr">
        <is>
          <t>UC-BOG-FCA-015</t>
        </is>
      </c>
      <c r="D18" s="17" t="n">
        <v>360</v>
      </c>
      <c r="E18" s="16" t="n">
        <v>2.6</v>
      </c>
      <c r="F18" s="16" t="n">
        <v>3</v>
      </c>
      <c r="G18" s="16" t="n">
        <v>120</v>
      </c>
      <c r="H18" s="16" t="n">
        <v>29</v>
      </c>
      <c r="I18" s="16" t="n">
        <v>32</v>
      </c>
      <c r="J18" s="16" t="n">
        <v>14</v>
      </c>
      <c r="K18" s="15" t="n">
        <v>3</v>
      </c>
      <c r="L18" s="15">
        <f>F18*K18</f>
        <v/>
      </c>
      <c r="M18" s="14">
        <f>H18*I18*J18*K18/1000000</f>
        <v/>
      </c>
    </row>
    <row r="19" ht="43.05" customHeight="1">
      <c r="A19" s="86" t="n"/>
      <c r="B19" s="86" t="n"/>
      <c r="C19" s="19" t="inlineStr">
        <is>
          <t>UC-BOG-FCA-015</t>
        </is>
      </c>
      <c r="D19" s="17" t="n">
        <v>100</v>
      </c>
      <c r="E19" s="16" t="n">
        <v>2.2</v>
      </c>
      <c r="F19" s="16" t="n">
        <v>2.5</v>
      </c>
      <c r="G19" s="16" t="n">
        <v>100</v>
      </c>
      <c r="H19" s="16" t="n">
        <v>29</v>
      </c>
      <c r="I19" s="16" t="n">
        <v>32</v>
      </c>
      <c r="J19" s="16" t="n">
        <v>14</v>
      </c>
      <c r="K19" s="15" t="n">
        <v>1</v>
      </c>
      <c r="L19" s="15">
        <f>F19*K19</f>
        <v/>
      </c>
      <c r="M19" s="14">
        <f>H19*I19*J19*K19/1000000</f>
        <v/>
      </c>
    </row>
    <row r="20" ht="75" customHeight="1">
      <c r="A20" s="18" t="n">
        <v>8</v>
      </c>
      <c r="B20" s="16" t="inlineStr">
        <is>
          <t>740ml stainless steel water filter bottle' s  straw only
NIL</t>
        </is>
      </c>
      <c r="C20" s="16" t="inlineStr">
        <is>
          <t>UC-BOG-SHL-018</t>
        </is>
      </c>
      <c r="D20" s="17" t="n">
        <v>50</v>
      </c>
      <c r="E20" s="16" t="n">
        <v>1.5</v>
      </c>
      <c r="F20" s="16" t="n">
        <v>1.7</v>
      </c>
      <c r="G20" s="16" t="n">
        <v>50</v>
      </c>
      <c r="H20" s="16" t="n">
        <v>36.5</v>
      </c>
      <c r="I20" s="16" t="n">
        <v>20</v>
      </c>
      <c r="J20" s="16" t="n">
        <v>19</v>
      </c>
      <c r="K20" s="15" t="n">
        <v>1</v>
      </c>
      <c r="L20" s="15">
        <f>F20*K20</f>
        <v/>
      </c>
      <c r="M20" s="14">
        <f>H20*I20*J20*K20/1000000</f>
        <v/>
      </c>
    </row>
    <row r="21" ht="43.05" customHeight="1">
      <c r="A21" s="18" t="n">
        <v>9</v>
      </c>
      <c r="B21" s="16" t="inlineStr">
        <is>
          <t>pump filter cartridge
BG-F04A</t>
        </is>
      </c>
      <c r="C21" s="16" t="inlineStr">
        <is>
          <t>UC-HOU-WDFS-006</t>
        </is>
      </c>
      <c r="D21" s="17" t="n">
        <v>120</v>
      </c>
      <c r="E21" s="16" t="n">
        <v>9.300000000000001</v>
      </c>
      <c r="F21" s="16" t="n">
        <v>10.3</v>
      </c>
      <c r="G21" s="16" t="n">
        <v>60</v>
      </c>
      <c r="H21" s="16" t="n">
        <v>50.5</v>
      </c>
      <c r="I21" s="16" t="n">
        <v>41.5</v>
      </c>
      <c r="J21" s="16" t="n">
        <v>26</v>
      </c>
      <c r="K21" s="15" t="n">
        <v>2</v>
      </c>
      <c r="L21" s="15">
        <f>F21*K21</f>
        <v/>
      </c>
      <c r="M21" s="14">
        <f>H21*I21*J21*K21/1000000</f>
        <v/>
      </c>
    </row>
    <row r="22" ht="43.05" customHeight="1">
      <c r="A22" s="86" t="n"/>
      <c r="B22" s="86" t="n"/>
      <c r="C22" s="86" t="n"/>
      <c r="D22" s="17" t="n">
        <v>80</v>
      </c>
      <c r="E22" s="16" t="n">
        <v>6</v>
      </c>
      <c r="F22" s="16" t="n">
        <v>7</v>
      </c>
      <c r="G22" s="16" t="n">
        <v>40</v>
      </c>
      <c r="H22" s="16" t="n">
        <v>42</v>
      </c>
      <c r="I22" s="16" t="n">
        <v>41</v>
      </c>
      <c r="J22" s="16" t="n">
        <v>25</v>
      </c>
      <c r="K22" s="15" t="n">
        <v>2</v>
      </c>
      <c r="L22" s="15">
        <f>F22*K22</f>
        <v/>
      </c>
      <c r="M22" s="14">
        <f>H22*I22*J22*K22/1000000</f>
        <v/>
      </c>
    </row>
    <row r="23" ht="43.05" customHeight="1">
      <c r="A23" s="18" t="n">
        <v>10</v>
      </c>
      <c r="B23" s="16" t="inlineStr">
        <is>
          <t>ultra filter faucet
BG-T01U</t>
        </is>
      </c>
      <c r="C23" s="16" t="inlineStr">
        <is>
          <t>UC-HOU-TAP-005</t>
        </is>
      </c>
      <c r="D23" s="17" t="n">
        <v>180</v>
      </c>
      <c r="E23" s="16" t="n">
        <v>14.5</v>
      </c>
      <c r="F23" s="16" t="n">
        <v>15.5</v>
      </c>
      <c r="G23" s="16" t="n">
        <v>30</v>
      </c>
      <c r="H23" s="16" t="n">
        <v>42.5</v>
      </c>
      <c r="I23" s="16" t="n">
        <v>38</v>
      </c>
      <c r="J23" s="16" t="n">
        <v>39.5</v>
      </c>
      <c r="K23" s="15" t="n">
        <v>6</v>
      </c>
      <c r="L23" s="15">
        <f>F23*K23</f>
        <v/>
      </c>
      <c r="M23" s="14">
        <f>H23*I23*J23*K23/1000000</f>
        <v/>
      </c>
    </row>
    <row r="24" ht="43.05" customHeight="1">
      <c r="A24" s="86" t="n"/>
      <c r="B24" s="86" t="n"/>
      <c r="C24" s="86" t="n"/>
      <c r="D24" s="17" t="n">
        <v>20</v>
      </c>
      <c r="E24" s="16" t="n">
        <v>9.5</v>
      </c>
      <c r="F24" s="16" t="n">
        <v>10.5</v>
      </c>
      <c r="G24" s="16" t="n">
        <v>20</v>
      </c>
      <c r="H24" s="16" t="n">
        <v>42.5</v>
      </c>
      <c r="I24" s="16" t="n">
        <v>38</v>
      </c>
      <c r="J24" s="16" t="n">
        <v>39.5</v>
      </c>
      <c r="K24" s="15" t="n">
        <v>1</v>
      </c>
      <c r="L24" s="15">
        <f>F24*K24</f>
        <v/>
      </c>
      <c r="M24" s="14">
        <f>H24*I24*J24*K24/1000000</f>
        <v/>
      </c>
    </row>
    <row r="25" ht="45" customHeight="1">
      <c r="A25" s="18" t="n">
        <v>11</v>
      </c>
      <c r="B25" s="16" t="inlineStr">
        <is>
          <t>faucet filter cartridge
BG-F01U</t>
        </is>
      </c>
      <c r="C25" s="16" t="inlineStr">
        <is>
          <t>UC-HOU-TAPF-006</t>
        </is>
      </c>
      <c r="D25" s="17" t="n">
        <v>120</v>
      </c>
      <c r="E25" s="16" t="n">
        <v>7</v>
      </c>
      <c r="F25" s="16" t="n">
        <v>7.6</v>
      </c>
      <c r="G25" s="16" t="n">
        <v>120</v>
      </c>
      <c r="H25" s="16" t="n">
        <v>48.5</v>
      </c>
      <c r="I25" s="16" t="n">
        <v>30.5</v>
      </c>
      <c r="J25" s="16" t="n">
        <v>20</v>
      </c>
      <c r="K25" s="15" t="n">
        <v>1</v>
      </c>
      <c r="L25" s="15">
        <f>F25*K25</f>
        <v/>
      </c>
      <c r="M25" s="14">
        <f>H25*I25*J25*K25/1000000</f>
        <v/>
      </c>
    </row>
    <row r="26" ht="43.05" customHeight="1">
      <c r="A26" s="18" t="n">
        <v>12</v>
      </c>
      <c r="B26" s="16" t="inlineStr">
        <is>
          <t xml:space="preserve">diamond shower filter
 BG-S01 </t>
        </is>
      </c>
      <c r="C26" s="16" t="inlineStr">
        <is>
          <t>UC-SKW-SHF-020</t>
        </is>
      </c>
      <c r="D26" s="17" t="n">
        <v>60</v>
      </c>
      <c r="E26" s="16" t="n">
        <v>10</v>
      </c>
      <c r="F26" s="16" t="n">
        <v>11</v>
      </c>
      <c r="G26" s="16" t="n">
        <v>30</v>
      </c>
      <c r="H26" s="16" t="n">
        <v>49.5</v>
      </c>
      <c r="I26" s="16" t="n">
        <v>43</v>
      </c>
      <c r="J26" s="16" t="n">
        <v>24.5</v>
      </c>
      <c r="K26" s="15" t="n">
        <v>2</v>
      </c>
      <c r="L26" s="15">
        <f>F26*K26</f>
        <v/>
      </c>
      <c r="M26" s="14">
        <f>H26*I26*J26*K26/1000000</f>
        <v/>
      </c>
    </row>
    <row r="27" ht="43.05" customHeight="1">
      <c r="A27" s="18" t="n">
        <v>13</v>
      </c>
      <c r="B27" s="16" t="inlineStr">
        <is>
          <t>round shower filter
 BG-S02</t>
        </is>
      </c>
      <c r="C27" s="16" t="inlineStr">
        <is>
          <t>UC-SKW-SHF-019</t>
        </is>
      </c>
      <c r="D27" s="17" t="n">
        <v>90</v>
      </c>
      <c r="E27" s="16" t="n">
        <v>12</v>
      </c>
      <c r="F27" s="16" t="n">
        <v>12.5</v>
      </c>
      <c r="G27" s="16" t="n">
        <v>30</v>
      </c>
      <c r="H27" s="16" t="n">
        <v>45.5</v>
      </c>
      <c r="I27" s="16" t="n">
        <v>42</v>
      </c>
      <c r="J27" s="16" t="n">
        <v>24</v>
      </c>
      <c r="K27" s="15" t="n">
        <v>3</v>
      </c>
      <c r="L27" s="15">
        <f>F27*K27</f>
        <v/>
      </c>
      <c r="M27" s="14">
        <f>H27*I27*J27*K27/1000000</f>
        <v/>
      </c>
    </row>
    <row r="28" ht="43.05" customHeight="1">
      <c r="A28" s="18" t="n">
        <v>14</v>
      </c>
      <c r="B28" s="16" t="inlineStr">
        <is>
          <t>shower filter with window
 BG-S04</t>
        </is>
      </c>
      <c r="C28" s="16" t="inlineStr">
        <is>
          <t>UC-SKW-SHF-022</t>
        </is>
      </c>
      <c r="D28" s="17" t="n">
        <v>20</v>
      </c>
      <c r="E28" s="16" t="n">
        <v>4.3</v>
      </c>
      <c r="F28" s="16" t="n">
        <v>4.8</v>
      </c>
      <c r="G28" s="16" t="n">
        <v>20</v>
      </c>
      <c r="H28" s="16" t="n">
        <v>37</v>
      </c>
      <c r="I28" s="16" t="n">
        <v>28</v>
      </c>
      <c r="J28" s="16" t="n">
        <v>31.5</v>
      </c>
      <c r="K28" s="15" t="n">
        <v>1</v>
      </c>
      <c r="L28" s="15">
        <f>F28*K28</f>
        <v/>
      </c>
      <c r="M28" s="14">
        <f>H28*I28*J28*K28/1000000</f>
        <v/>
      </c>
    </row>
    <row r="29" ht="43.05" customHeight="1">
      <c r="A29" s="18" t="n">
        <v>15</v>
      </c>
      <c r="B29" s="16" t="inlineStr">
        <is>
          <t>aluminum alloy shower filter
 BG-S06</t>
        </is>
      </c>
      <c r="C29" s="16" t="inlineStr">
        <is>
          <t>UC-SKW-SHF-021</t>
        </is>
      </c>
      <c r="D29" s="17" t="n">
        <v>120</v>
      </c>
      <c r="E29" s="16" t="n">
        <v>15.1</v>
      </c>
      <c r="F29" s="16" t="n">
        <v>15.8</v>
      </c>
      <c r="G29" s="16" t="n">
        <v>30</v>
      </c>
      <c r="H29" s="16" t="n">
        <v>49.5</v>
      </c>
      <c r="I29" s="16" t="n">
        <v>40.5</v>
      </c>
      <c r="J29" s="16" t="n">
        <v>26</v>
      </c>
      <c r="K29" s="15" t="n">
        <v>4</v>
      </c>
      <c r="L29" s="15">
        <f>F29*K29</f>
        <v/>
      </c>
      <c r="M29" s="14">
        <f>H29*I29*J29*K29/1000000</f>
        <v/>
      </c>
    </row>
    <row r="30" ht="43.05" customHeight="1">
      <c r="A30" s="18" t="n">
        <v>16</v>
      </c>
      <c r="B30" s="16" t="inlineStr">
        <is>
          <t>shower filter cartridge
BG-F02</t>
        </is>
      </c>
      <c r="C30" s="16" t="inlineStr">
        <is>
          <t>UC-SKW-SHC-023</t>
        </is>
      </c>
      <c r="D30" s="17" t="n">
        <v>120</v>
      </c>
      <c r="E30" s="16" t="n">
        <v>16.9</v>
      </c>
      <c r="F30" s="16" t="n">
        <v>17.5</v>
      </c>
      <c r="G30" s="16" t="n">
        <v>120</v>
      </c>
      <c r="H30" s="16" t="n">
        <v>54.5</v>
      </c>
      <c r="I30" s="16" t="n">
        <v>23</v>
      </c>
      <c r="J30" s="16" t="n">
        <v>37</v>
      </c>
      <c r="K30" s="15" t="n">
        <v>1</v>
      </c>
      <c r="L30" s="15">
        <f>F30*K30</f>
        <v/>
      </c>
      <c r="M30" s="14">
        <f>H30*I30*J30*K30/1000000</f>
        <v/>
      </c>
    </row>
    <row r="31" ht="43.05" customHeight="1">
      <c r="A31" s="18" t="n">
        <v>17</v>
      </c>
      <c r="B31" s="16" t="inlineStr">
        <is>
          <t xml:space="preserve">new straw filter
 BG-B12 </t>
        </is>
      </c>
      <c r="C31" s="16" t="inlineStr">
        <is>
          <t>UC-BOG-FST-016</t>
        </is>
      </c>
      <c r="D31" s="17" t="n">
        <v>50</v>
      </c>
      <c r="E31" s="16" t="n">
        <v>6</v>
      </c>
      <c r="F31" s="16" t="n">
        <v>7</v>
      </c>
      <c r="G31" s="16" t="n">
        <v>50</v>
      </c>
      <c r="H31" s="16" t="n">
        <v>48</v>
      </c>
      <c r="I31" s="16" t="n">
        <v>33</v>
      </c>
      <c r="J31" s="16" t="n">
        <v>23.5</v>
      </c>
      <c r="K31" s="15" t="n">
        <v>1</v>
      </c>
      <c r="L31" s="15">
        <f>F31*K31</f>
        <v/>
      </c>
      <c r="M31" s="14">
        <f>H31*I31*J31*K31/1000000</f>
        <v/>
      </c>
    </row>
    <row r="33" ht="32.55" customHeight="1">
      <c r="B33" s="13" t="n"/>
      <c r="C33" s="13" t="n"/>
      <c r="D33" s="12">
        <f>SUM(D7:D31)</f>
        <v/>
      </c>
      <c r="E33" s="11" t="n"/>
      <c r="F33" s="11" t="n"/>
      <c r="G33" s="10" t="n"/>
      <c r="H33" s="10" t="n"/>
      <c r="I33" s="10" t="n"/>
      <c r="J33" s="10" t="n"/>
      <c r="K33" s="9">
        <f>SUM(K7:K31)</f>
        <v/>
      </c>
      <c r="L33" s="8">
        <f>SUM(L7:L31)</f>
        <v/>
      </c>
      <c r="M33" s="7">
        <f>SUM(M7:M31)</f>
        <v/>
      </c>
    </row>
  </sheetData>
  <mergeCells count="26">
    <mergeCell ref="B18:B19"/>
    <mergeCell ref="A4:M4"/>
    <mergeCell ref="B8:B9"/>
    <mergeCell ref="A16:A17"/>
    <mergeCell ref="C16:C17"/>
    <mergeCell ref="B23:B24"/>
    <mergeCell ref="B21:B22"/>
    <mergeCell ref="B13:B14"/>
    <mergeCell ref="A10:A12"/>
    <mergeCell ref="C21:C22"/>
    <mergeCell ref="A18:A19"/>
    <mergeCell ref="A21:A22"/>
    <mergeCell ref="A8:A9"/>
    <mergeCell ref="C23:C24"/>
    <mergeCell ref="A1:M1"/>
    <mergeCell ref="C8:C9"/>
    <mergeCell ref="B5:M5"/>
    <mergeCell ref="A13:A14"/>
    <mergeCell ref="A23:A24"/>
    <mergeCell ref="C10:C12"/>
    <mergeCell ref="C13:C14"/>
    <mergeCell ref="B10:B12"/>
    <mergeCell ref="A3:M3"/>
    <mergeCell ref="B16:B17"/>
    <mergeCell ref="A2:M2"/>
    <mergeCell ref="H6:J6"/>
  </mergeCells>
  <pageMargins left="0.75" right="0.75" top="1" bottom="1" header="0.5" footer="0.5"/>
  <pageSetup orientation="portrait" paperSize="9" scale="60"/>
</worksheet>
</file>

<file path=xl/worksheets/sheet8.xml><?xml version="1.0" encoding="utf-8"?>
<worksheet xmlns="http://schemas.openxmlformats.org/spreadsheetml/2006/main">
  <sheetPr>
    <outlinePr summaryBelow="1" summaryRight="1"/>
    <pageSetUpPr/>
  </sheetPr>
  <dimension ref="A1:E391"/>
  <sheetViews>
    <sheetView workbookViewId="0">
      <pane ySplit="5" topLeftCell="A6" activePane="bottomLeft" state="frozen"/>
      <selection pane="bottomLeft" activeCell="A1" sqref="A1"/>
    </sheetView>
  </sheetViews>
  <sheetFormatPr baseColWidth="8" defaultRowHeight="15"/>
  <cols>
    <col width="10" customWidth="1" min="1" max="1"/>
    <col width="34" customWidth="1" min="2" max="2"/>
    <col width="30" customWidth="1" min="3" max="3"/>
    <col width="30" customWidth="1" min="4" max="4"/>
    <col width="66" customWidth="1" min="5" max="5"/>
  </cols>
  <sheetData>
    <row r="1">
      <c r="A1" s="89" t="inlineStr">
        <is>
          <t>SKU Prices — formula repair log</t>
        </is>
      </c>
    </row>
    <row r="2">
      <c r="A2" t="inlineStr">
        <is>
          <t>Source: D:\Users\OneDrive\WEB\OFFICIAL   DOCUMENTS\...\SKU with Prices\SKU Prices.xlsx</t>
        </is>
      </c>
    </row>
    <row r="3">
      <c r="A3" s="88" t="inlineStr">
        <is>
          <t>Repaired 16 Sep 2026. Errors before: 24 x #VALUE! + 22 x #DIV/0! = 46. Errors after: 0.</t>
        </is>
      </c>
    </row>
    <row r="5">
      <c r="A5" s="90" t="inlineStr">
        <is>
          <t>PHASE</t>
        </is>
      </c>
      <c r="B5" s="90" t="inlineStr">
        <is>
          <t>CELL / OBJECT</t>
        </is>
      </c>
      <c r="C5" s="90" t="inlineStr">
        <is>
          <t>WAS</t>
        </is>
      </c>
      <c r="D5" s="90" t="inlineStr">
        <is>
          <t>NOW</t>
        </is>
      </c>
      <c r="E5" s="90" t="inlineStr">
        <is>
          <t>WHY IT WAS WRONG</t>
        </is>
      </c>
    </row>
    <row r="6">
      <c r="A6" s="91" t="inlineStr">
        <is>
          <t>P1</t>
        </is>
      </c>
      <c r="B6" s="91" t="inlineStr">
        <is>
          <t>Y11</t>
        </is>
      </c>
      <c r="C6" s="91" t="inlineStr">
        <is>
          <t>'1.6'</t>
        </is>
      </c>
      <c r="D6" s="91" t="inlineStr">
        <is>
          <t>1.6</t>
        </is>
      </c>
      <c r="E6" s="91" t="inlineStr">
        <is>
          <t>multiplier stored as TEXT; coerces in * but fails in lookups/array maths</t>
        </is>
      </c>
    </row>
    <row r="7">
      <c r="A7" s="91" t="inlineStr">
        <is>
          <t>P1</t>
        </is>
      </c>
      <c r="B7" s="91" t="inlineStr">
        <is>
          <t>Z11</t>
        </is>
      </c>
      <c r="C7" s="91" t="inlineStr">
        <is>
          <t>'1.45'</t>
        </is>
      </c>
      <c r="D7" s="91" t="inlineStr">
        <is>
          <t>1.45</t>
        </is>
      </c>
      <c r="E7" s="91" t="inlineStr">
        <is>
          <t>multiplier stored as TEXT; coerces in * but fails in lookups/array maths</t>
        </is>
      </c>
    </row>
    <row r="8">
      <c r="A8" s="91" t="inlineStr">
        <is>
          <t>P2</t>
        </is>
      </c>
      <c r="B8" s="91" t="inlineStr">
        <is>
          <t>FX_USD_KES</t>
        </is>
      </c>
      <c r="C8" s="91" t="inlineStr">
        <is>
          <t>-&gt;</t>
        </is>
      </c>
      <c r="D8" s="91" t="inlineStr">
        <is>
          <t>'SKU with PRICES'!$W$8</t>
        </is>
      </c>
      <c r="E8" s="91" t="inlineStr">
        <is>
          <t>named anchor added (cannot drift on row insert/delete)</t>
        </is>
      </c>
    </row>
    <row r="9">
      <c r="A9" s="91" t="inlineStr">
        <is>
          <t>P2</t>
        </is>
      </c>
      <c r="B9" s="91" t="inlineStr">
        <is>
          <t>MULT_RETAIL_CORE</t>
        </is>
      </c>
      <c r="C9" s="91" t="inlineStr">
        <is>
          <t>-&gt;</t>
        </is>
      </c>
      <c r="D9" s="91" t="inlineStr">
        <is>
          <t>'SKU with PRICES'!$Y$11</t>
        </is>
      </c>
      <c r="E9" s="91" t="inlineStr">
        <is>
          <t>named anchor added (cannot drift on row insert/delete)</t>
        </is>
      </c>
    </row>
    <row r="10">
      <c r="A10" s="91" t="inlineStr">
        <is>
          <t>P2</t>
        </is>
      </c>
      <c r="B10" s="91" t="inlineStr">
        <is>
          <t>RATE_WHOLESALE</t>
        </is>
      </c>
      <c r="C10" s="91" t="inlineStr">
        <is>
          <t>-&gt;</t>
        </is>
      </c>
      <c r="D10" s="91" t="inlineStr">
        <is>
          <t>'SKU with PRICES'!$Y$12</t>
        </is>
      </c>
      <c r="E10" s="91" t="inlineStr">
        <is>
          <t>named anchor added (cannot drift on row insert/delete)</t>
        </is>
      </c>
    </row>
    <row r="11">
      <c r="A11" s="91" t="inlineStr">
        <is>
          <t>P2</t>
        </is>
      </c>
      <c r="B11" s="91" t="inlineStr">
        <is>
          <t>RATE_CORPORATE</t>
        </is>
      </c>
      <c r="C11" s="91" t="inlineStr">
        <is>
          <t>-&gt;</t>
        </is>
      </c>
      <c r="D11" s="91" t="inlineStr">
        <is>
          <t>'SKU with PRICES'!$Y$13</t>
        </is>
      </c>
      <c r="E11" s="91" t="inlineStr">
        <is>
          <t>named anchor added (cannot drift on row insert/delete)</t>
        </is>
      </c>
    </row>
    <row r="12">
      <c r="A12" s="91" t="inlineStr">
        <is>
          <t>P2</t>
        </is>
      </c>
      <c r="B12" s="91" t="inlineStr">
        <is>
          <t>RATE_INFLUENCER</t>
        </is>
      </c>
      <c r="C12" s="91" t="inlineStr">
        <is>
          <t>-&gt;</t>
        </is>
      </c>
      <c r="D12" s="91" t="inlineStr">
        <is>
          <t>'SKU with PRICES'!$Y$14</t>
        </is>
      </c>
      <c r="E12" s="91" t="inlineStr">
        <is>
          <t>named anchor added (cannot drift on row insert/delete)</t>
        </is>
      </c>
    </row>
    <row r="13">
      <c r="A13" s="91" t="inlineStr">
        <is>
          <t>P2</t>
        </is>
      </c>
      <c r="B13" s="91" t="inlineStr">
        <is>
          <t>MULT_RETAIL_CONS</t>
        </is>
      </c>
      <c r="C13" s="91" t="inlineStr">
        <is>
          <t>-&gt;</t>
        </is>
      </c>
      <c r="D13" s="91" t="inlineStr">
        <is>
          <t>'SKU with PRICES'!$Z$11</t>
        </is>
      </c>
      <c r="E13" s="91" t="inlineStr">
        <is>
          <t>named anchor added (cannot drift on row insert/delete)</t>
        </is>
      </c>
    </row>
    <row r="14">
      <c r="A14" s="91" t="inlineStr">
        <is>
          <t>P2</t>
        </is>
      </c>
      <c r="B14" s="91" t="inlineStr">
        <is>
          <t>RATE_WHOLESALE_CONS</t>
        </is>
      </c>
      <c r="C14" s="91" t="inlineStr">
        <is>
          <t>-&gt;</t>
        </is>
      </c>
      <c r="D14" s="91" t="inlineStr">
        <is>
          <t>'SKU with PRICES'!$Z$12</t>
        </is>
      </c>
      <c r="E14" s="91" t="inlineStr">
        <is>
          <t>named anchor added (cannot drift on row insert/delete)</t>
        </is>
      </c>
    </row>
    <row r="15">
      <c r="A15" s="91" t="inlineStr">
        <is>
          <t>P2</t>
        </is>
      </c>
      <c r="B15" s="91" t="inlineStr">
        <is>
          <t>RATE_CORPORATE_CONS</t>
        </is>
      </c>
      <c r="C15" s="91" t="inlineStr">
        <is>
          <t>-&gt;</t>
        </is>
      </c>
      <c r="D15" s="91" t="inlineStr">
        <is>
          <t>'SKU with PRICES'!$Z$13</t>
        </is>
      </c>
      <c r="E15" s="91" t="inlineStr">
        <is>
          <t>named anchor added (cannot drift on row insert/delete)</t>
        </is>
      </c>
    </row>
    <row r="16">
      <c r="A16" s="91" t="inlineStr">
        <is>
          <t>P2</t>
        </is>
      </c>
      <c r="B16" s="91" t="inlineStr">
        <is>
          <t>RATE_INFLUENCER_CONS</t>
        </is>
      </c>
      <c r="C16" s="91" t="inlineStr">
        <is>
          <t>-&gt;</t>
        </is>
      </c>
      <c r="D16" s="91" t="inlineStr">
        <is>
          <t>'SKU with PRICES'!$Z$14</t>
        </is>
      </c>
      <c r="E16" s="91" t="inlineStr">
        <is>
          <t>named anchor added (cannot drift on row insert/delete)</t>
        </is>
      </c>
    </row>
    <row r="17">
      <c r="A17" s="91" t="inlineStr">
        <is>
          <t>P3</t>
        </is>
      </c>
      <c r="B17" s="91" t="inlineStr">
        <is>
          <t>K2</t>
        </is>
      </c>
      <c r="C17" s="91" t="inlineStr">
        <is>
          <t>W8</t>
        </is>
      </c>
      <c r="D17" s="91" t="inlineStr">
        <is>
          <t>-&gt; named anchors</t>
        </is>
      </c>
      <c r="E17" s="91" t="inlineStr">
        <is>
          <t>formula reference drift</t>
        </is>
      </c>
    </row>
    <row r="18">
      <c r="A18" s="91" t="inlineStr">
        <is>
          <t>P3</t>
        </is>
      </c>
      <c r="B18" s="91" t="inlineStr">
        <is>
          <t>L2</t>
        </is>
      </c>
      <c r="C18" s="91" t="inlineStr">
        <is>
          <t>Y11</t>
        </is>
      </c>
      <c r="D18" s="91" t="inlineStr">
        <is>
          <t>-&gt; named anchors</t>
        </is>
      </c>
      <c r="E18" s="91" t="inlineStr">
        <is>
          <t>formula reference drift</t>
        </is>
      </c>
    </row>
    <row r="19">
      <c r="A19" s="91" t="inlineStr">
        <is>
          <t>P3</t>
        </is>
      </c>
      <c r="B19" s="91" t="inlineStr">
        <is>
          <t>N2</t>
        </is>
      </c>
      <c r="C19" s="91" t="inlineStr">
        <is>
          <t>/135</t>
        </is>
      </c>
      <c r="D19" s="91" t="inlineStr">
        <is>
          <t>-&gt; named anchors</t>
        </is>
      </c>
      <c r="E19" s="91" t="inlineStr">
        <is>
          <t>formula reference drift</t>
        </is>
      </c>
    </row>
    <row r="20">
      <c r="A20" s="91" t="inlineStr">
        <is>
          <t>P3</t>
        </is>
      </c>
      <c r="B20" s="91" t="inlineStr">
        <is>
          <t>O2</t>
        </is>
      </c>
      <c r="C20" s="91" t="inlineStr">
        <is>
          <t>$Y$10,Y12</t>
        </is>
      </c>
      <c r="D20" s="91" t="inlineStr">
        <is>
          <t>-&gt; named anchors</t>
        </is>
      </c>
      <c r="E20" s="91" t="inlineStr">
        <is>
          <t>formula reference drift</t>
        </is>
      </c>
    </row>
    <row r="21">
      <c r="A21" s="91" t="inlineStr">
        <is>
          <t>P3</t>
        </is>
      </c>
      <c r="B21" s="91" t="inlineStr">
        <is>
          <t>P2</t>
        </is>
      </c>
      <c r="C21" s="91" t="inlineStr">
        <is>
          <t>W8</t>
        </is>
      </c>
      <c r="D21" s="91" t="inlineStr">
        <is>
          <t>-&gt; named anchors</t>
        </is>
      </c>
      <c r="E21" s="91" t="inlineStr">
        <is>
          <t>formula reference drift</t>
        </is>
      </c>
    </row>
    <row r="22">
      <c r="A22" s="91" t="inlineStr">
        <is>
          <t>P3</t>
        </is>
      </c>
      <c r="B22" s="91" t="inlineStr">
        <is>
          <t>Q2</t>
        </is>
      </c>
      <c r="C22" s="91" t="inlineStr">
        <is>
          <t>$Y$11,Y13</t>
        </is>
      </c>
      <c r="D22" s="91" t="inlineStr">
        <is>
          <t>-&gt; named anchors</t>
        </is>
      </c>
      <c r="E22" s="91" t="inlineStr">
        <is>
          <t>formula reference drift</t>
        </is>
      </c>
    </row>
    <row r="23">
      <c r="A23" s="91" t="inlineStr">
        <is>
          <t>P3</t>
        </is>
      </c>
      <c r="B23" s="91" t="inlineStr">
        <is>
          <t>R2</t>
        </is>
      </c>
      <c r="C23" s="91" t="inlineStr">
        <is>
          <t>W8</t>
        </is>
      </c>
      <c r="D23" s="91" t="inlineStr">
        <is>
          <t>-&gt; named anchors</t>
        </is>
      </c>
      <c r="E23" s="91" t="inlineStr">
        <is>
          <t>formula reference drift</t>
        </is>
      </c>
    </row>
    <row r="24">
      <c r="A24" s="91" t="inlineStr">
        <is>
          <t>P3</t>
        </is>
      </c>
      <c r="B24" s="91" t="inlineStr">
        <is>
          <t>S2</t>
        </is>
      </c>
      <c r="C24" s="91" t="inlineStr">
        <is>
          <t>$Y$12,Y14</t>
        </is>
      </c>
      <c r="D24" s="91" t="inlineStr">
        <is>
          <t>-&gt; named anchors</t>
        </is>
      </c>
      <c r="E24" s="91" t="inlineStr">
        <is>
          <t>formula reference drift</t>
        </is>
      </c>
    </row>
    <row r="25">
      <c r="A25" s="91" t="inlineStr">
        <is>
          <t>P3</t>
        </is>
      </c>
      <c r="B25" s="91" t="inlineStr">
        <is>
          <t>T2</t>
        </is>
      </c>
      <c r="C25" s="91" t="inlineStr">
        <is>
          <t>W8</t>
        </is>
      </c>
      <c r="D25" s="91" t="inlineStr">
        <is>
          <t>-&gt; named anchors</t>
        </is>
      </c>
      <c r="E25" s="91" t="inlineStr">
        <is>
          <t>formula reference drift</t>
        </is>
      </c>
    </row>
    <row r="26">
      <c r="A26" s="91" t="inlineStr">
        <is>
          <t>P3</t>
        </is>
      </c>
      <c r="B26" s="91" t="inlineStr">
        <is>
          <t>K3</t>
        </is>
      </c>
      <c r="C26" s="91" t="inlineStr">
        <is>
          <t>W8</t>
        </is>
      </c>
      <c r="D26" s="91" t="inlineStr">
        <is>
          <t>-&gt; named anchors</t>
        </is>
      </c>
      <c r="E26" s="91" t="inlineStr">
        <is>
          <t>formula reference drift</t>
        </is>
      </c>
    </row>
    <row r="27">
      <c r="A27" s="91" t="inlineStr">
        <is>
          <t>P3</t>
        </is>
      </c>
      <c r="B27" s="91" t="inlineStr">
        <is>
          <t>L3</t>
        </is>
      </c>
      <c r="C27" s="91" t="inlineStr">
        <is>
          <t>Y11</t>
        </is>
      </c>
      <c r="D27" s="91" t="inlineStr">
        <is>
          <t>-&gt; named anchors</t>
        </is>
      </c>
      <c r="E27" s="91" t="inlineStr">
        <is>
          <t>formula reference drift</t>
        </is>
      </c>
    </row>
    <row r="28">
      <c r="A28" s="91" t="inlineStr">
        <is>
          <t>P3</t>
        </is>
      </c>
      <c r="B28" s="91" t="inlineStr">
        <is>
          <t>N3</t>
        </is>
      </c>
      <c r="C28" s="91" t="inlineStr">
        <is>
          <t>/135</t>
        </is>
      </c>
      <c r="D28" s="91" t="inlineStr">
        <is>
          <t>-&gt; named anchors</t>
        </is>
      </c>
      <c r="E28" s="91" t="inlineStr">
        <is>
          <t>formula reference drift</t>
        </is>
      </c>
    </row>
    <row r="29">
      <c r="A29" s="91" t="inlineStr">
        <is>
          <t>P3</t>
        </is>
      </c>
      <c r="B29" s="91" t="inlineStr">
        <is>
          <t>O3</t>
        </is>
      </c>
      <c r="C29" s="91" t="inlineStr">
        <is>
          <t>$Y$11,Y12</t>
        </is>
      </c>
      <c r="D29" s="91" t="inlineStr">
        <is>
          <t>-&gt; named anchors</t>
        </is>
      </c>
      <c r="E29" s="91" t="inlineStr">
        <is>
          <t>formula reference drift</t>
        </is>
      </c>
    </row>
    <row r="30">
      <c r="A30" s="91" t="inlineStr">
        <is>
          <t>P3</t>
        </is>
      </c>
      <c r="B30" s="91" t="inlineStr">
        <is>
          <t>P3</t>
        </is>
      </c>
      <c r="C30" s="91" t="inlineStr">
        <is>
          <t>W8</t>
        </is>
      </c>
      <c r="D30" s="91" t="inlineStr">
        <is>
          <t>-&gt; named anchors</t>
        </is>
      </c>
      <c r="E30" s="91" t="inlineStr">
        <is>
          <t>formula reference drift</t>
        </is>
      </c>
    </row>
    <row r="31">
      <c r="A31" s="91" t="inlineStr">
        <is>
          <t>P3</t>
        </is>
      </c>
      <c r="B31" s="91" t="inlineStr">
        <is>
          <t>Q3</t>
        </is>
      </c>
      <c r="C31" s="91" t="inlineStr">
        <is>
          <t>$Y$12,Y13</t>
        </is>
      </c>
      <c r="D31" s="91" t="inlineStr">
        <is>
          <t>-&gt; named anchors</t>
        </is>
      </c>
      <c r="E31" s="91" t="inlineStr">
        <is>
          <t>formula reference drift</t>
        </is>
      </c>
    </row>
    <row r="32">
      <c r="A32" s="91" t="inlineStr">
        <is>
          <t>P3</t>
        </is>
      </c>
      <c r="B32" s="91" t="inlineStr">
        <is>
          <t>R3</t>
        </is>
      </c>
      <c r="C32" s="91" t="inlineStr">
        <is>
          <t>W8</t>
        </is>
      </c>
      <c r="D32" s="91" t="inlineStr">
        <is>
          <t>-&gt; named anchors</t>
        </is>
      </c>
      <c r="E32" s="91" t="inlineStr">
        <is>
          <t>formula reference drift</t>
        </is>
      </c>
    </row>
    <row r="33">
      <c r="A33" s="91" t="inlineStr">
        <is>
          <t>P3</t>
        </is>
      </c>
      <c r="B33" s="91" t="inlineStr">
        <is>
          <t>S3</t>
        </is>
      </c>
      <c r="C33" s="91" t="inlineStr">
        <is>
          <t>$Y$13,Y14</t>
        </is>
      </c>
      <c r="D33" s="91" t="inlineStr">
        <is>
          <t>-&gt; named anchors</t>
        </is>
      </c>
      <c r="E33" s="91" t="inlineStr">
        <is>
          <t>formula reference drift</t>
        </is>
      </c>
    </row>
    <row r="34">
      <c r="A34" s="91" t="inlineStr">
        <is>
          <t>P3</t>
        </is>
      </c>
      <c r="B34" s="91" t="inlineStr">
        <is>
          <t>T3</t>
        </is>
      </c>
      <c r="C34" s="91" t="inlineStr">
        <is>
          <t>W8</t>
        </is>
      </c>
      <c r="D34" s="91" t="inlineStr">
        <is>
          <t>-&gt; named anchors</t>
        </is>
      </c>
      <c r="E34" s="91" t="inlineStr">
        <is>
          <t>formula reference drift</t>
        </is>
      </c>
    </row>
    <row r="35">
      <c r="A35" s="91" t="inlineStr">
        <is>
          <t>P3</t>
        </is>
      </c>
      <c r="B35" s="91" t="inlineStr">
        <is>
          <t>K4</t>
        </is>
      </c>
      <c r="C35" s="91" t="inlineStr">
        <is>
          <t>$W$8</t>
        </is>
      </c>
      <c r="D35" s="91" t="inlineStr">
        <is>
          <t>-&gt; named anchors</t>
        </is>
      </c>
      <c r="E35" s="91" t="inlineStr">
        <is>
          <t>formula reference drift</t>
        </is>
      </c>
    </row>
    <row r="36">
      <c r="A36" s="91" t="inlineStr">
        <is>
          <t>P3</t>
        </is>
      </c>
      <c r="B36" s="91" t="inlineStr">
        <is>
          <t>L4</t>
        </is>
      </c>
      <c r="C36" s="91" t="inlineStr">
        <is>
          <t>$Y$11</t>
        </is>
      </c>
      <c r="D36" s="91" t="inlineStr">
        <is>
          <t>-&gt; named anchors</t>
        </is>
      </c>
      <c r="E36" s="91" t="inlineStr">
        <is>
          <t>formula reference drift</t>
        </is>
      </c>
    </row>
    <row r="37">
      <c r="A37" s="91" t="inlineStr">
        <is>
          <t>P3</t>
        </is>
      </c>
      <c r="B37" s="91" t="inlineStr">
        <is>
          <t>N4</t>
        </is>
      </c>
      <c r="C37" s="91" t="inlineStr">
        <is>
          <t>/135</t>
        </is>
      </c>
      <c r="D37" s="91" t="inlineStr">
        <is>
          <t>-&gt; named anchors</t>
        </is>
      </c>
      <c r="E37" s="91" t="inlineStr">
        <is>
          <t>formula reference drift</t>
        </is>
      </c>
    </row>
    <row r="38">
      <c r="A38" s="91" t="inlineStr">
        <is>
          <t>P3</t>
        </is>
      </c>
      <c r="B38" s="91" t="inlineStr">
        <is>
          <t>O4</t>
        </is>
      </c>
      <c r="C38" s="91" t="inlineStr">
        <is>
          <t>$Y$10</t>
        </is>
      </c>
      <c r="D38" s="91" t="inlineStr">
        <is>
          <t>-&gt; named anchors</t>
        </is>
      </c>
      <c r="E38" s="91" t="inlineStr">
        <is>
          <t>formula reference drift</t>
        </is>
      </c>
    </row>
    <row r="39">
      <c r="A39" s="91" t="inlineStr">
        <is>
          <t>P3</t>
        </is>
      </c>
      <c r="B39" s="91" t="inlineStr">
        <is>
          <t>P4</t>
        </is>
      </c>
      <c r="C39" s="91" t="inlineStr">
        <is>
          <t>$W$6</t>
        </is>
      </c>
      <c r="D39" s="91" t="inlineStr">
        <is>
          <t>-&gt; named anchors</t>
        </is>
      </c>
      <c r="E39" s="91" t="inlineStr">
        <is>
          <t>formula reference drift</t>
        </is>
      </c>
    </row>
    <row r="40">
      <c r="A40" s="91" t="inlineStr">
        <is>
          <t>P3</t>
        </is>
      </c>
      <c r="B40" s="91" t="inlineStr">
        <is>
          <t>Q4</t>
        </is>
      </c>
      <c r="C40" s="91" t="inlineStr">
        <is>
          <t>$Y$11</t>
        </is>
      </c>
      <c r="D40" s="91" t="inlineStr">
        <is>
          <t>-&gt; named anchors</t>
        </is>
      </c>
      <c r="E40" s="91" t="inlineStr">
        <is>
          <t>formula reference drift</t>
        </is>
      </c>
    </row>
    <row r="41">
      <c r="A41" s="91" t="inlineStr">
        <is>
          <t>P3</t>
        </is>
      </c>
      <c r="B41" s="91" t="inlineStr">
        <is>
          <t>R4</t>
        </is>
      </c>
      <c r="C41" s="91" t="inlineStr">
        <is>
          <t>$W$6</t>
        </is>
      </c>
      <c r="D41" s="91" t="inlineStr">
        <is>
          <t>-&gt; named anchors</t>
        </is>
      </c>
      <c r="E41" s="91" t="inlineStr">
        <is>
          <t>formula reference drift</t>
        </is>
      </c>
    </row>
    <row r="42">
      <c r="A42" s="91" t="inlineStr">
        <is>
          <t>P3</t>
        </is>
      </c>
      <c r="B42" s="91" t="inlineStr">
        <is>
          <t>S4</t>
        </is>
      </c>
      <c r="C42" s="91" t="inlineStr">
        <is>
          <t>$Y$12</t>
        </is>
      </c>
      <c r="D42" s="91" t="inlineStr">
        <is>
          <t>-&gt; named anchors</t>
        </is>
      </c>
      <c r="E42" s="91" t="inlineStr">
        <is>
          <t>formula reference drift</t>
        </is>
      </c>
    </row>
    <row r="43">
      <c r="A43" s="91" t="inlineStr">
        <is>
          <t>P3</t>
        </is>
      </c>
      <c r="B43" s="91" t="inlineStr">
        <is>
          <t>T4</t>
        </is>
      </c>
      <c r="C43" s="91" t="inlineStr">
        <is>
          <t>$W$6</t>
        </is>
      </c>
      <c r="D43" s="91" t="inlineStr">
        <is>
          <t>-&gt; named anchors</t>
        </is>
      </c>
      <c r="E43" s="91" t="inlineStr">
        <is>
          <t>formula reference drift</t>
        </is>
      </c>
    </row>
    <row r="44">
      <c r="A44" s="91" t="inlineStr">
        <is>
          <t>P3</t>
        </is>
      </c>
      <c r="B44" s="91" t="inlineStr">
        <is>
          <t>K5</t>
        </is>
      </c>
      <c r="C44" s="91" t="inlineStr">
        <is>
          <t>$W$8</t>
        </is>
      </c>
      <c r="D44" s="91" t="inlineStr">
        <is>
          <t>-&gt; named anchors</t>
        </is>
      </c>
      <c r="E44" s="91" t="inlineStr">
        <is>
          <t>formula reference drift</t>
        </is>
      </c>
    </row>
    <row r="45">
      <c r="A45" s="91" t="inlineStr">
        <is>
          <t>P3</t>
        </is>
      </c>
      <c r="B45" s="91" t="inlineStr">
        <is>
          <t>L5</t>
        </is>
      </c>
      <c r="C45" s="91" t="inlineStr">
        <is>
          <t>$Y$11</t>
        </is>
      </c>
      <c r="D45" s="91" t="inlineStr">
        <is>
          <t>-&gt; named anchors</t>
        </is>
      </c>
      <c r="E45" s="91" t="inlineStr">
        <is>
          <t>formula reference drift</t>
        </is>
      </c>
    </row>
    <row r="46">
      <c r="A46" s="91" t="inlineStr">
        <is>
          <t>P3</t>
        </is>
      </c>
      <c r="B46" s="91" t="inlineStr">
        <is>
          <t>N5</t>
        </is>
      </c>
      <c r="C46" s="91" t="inlineStr">
        <is>
          <t>/135</t>
        </is>
      </c>
      <c r="D46" s="91" t="inlineStr">
        <is>
          <t>-&gt; named anchors</t>
        </is>
      </c>
      <c r="E46" s="91" t="inlineStr">
        <is>
          <t>formula reference drift</t>
        </is>
      </c>
    </row>
    <row r="47">
      <c r="A47" s="91" t="inlineStr">
        <is>
          <t>P3</t>
        </is>
      </c>
      <c r="B47" s="91" t="inlineStr">
        <is>
          <t>O5</t>
        </is>
      </c>
      <c r="C47" s="91" t="inlineStr">
        <is>
          <t>$Y$12</t>
        </is>
      </c>
      <c r="D47" s="91" t="inlineStr">
        <is>
          <t>-&gt; named anchors</t>
        </is>
      </c>
      <c r="E47" s="91" t="inlineStr">
        <is>
          <t>formula reference drift</t>
        </is>
      </c>
    </row>
    <row r="48">
      <c r="A48" s="91" t="inlineStr">
        <is>
          <t>P3</t>
        </is>
      </c>
      <c r="B48" s="91" t="inlineStr">
        <is>
          <t>P5</t>
        </is>
      </c>
      <c r="C48" s="91" t="inlineStr">
        <is>
          <t>$W$8</t>
        </is>
      </c>
      <c r="D48" s="91" t="inlineStr">
        <is>
          <t>-&gt; named anchors</t>
        </is>
      </c>
      <c r="E48" s="91" t="inlineStr">
        <is>
          <t>formula reference drift</t>
        </is>
      </c>
    </row>
    <row r="49">
      <c r="A49" s="91" t="inlineStr">
        <is>
          <t>P3</t>
        </is>
      </c>
      <c r="B49" s="91" t="inlineStr">
        <is>
          <t>Q5</t>
        </is>
      </c>
      <c r="C49" s="91" t="inlineStr">
        <is>
          <t>$Y$13</t>
        </is>
      </c>
      <c r="D49" s="91" t="inlineStr">
        <is>
          <t>-&gt; named anchors</t>
        </is>
      </c>
      <c r="E49" s="91" t="inlineStr">
        <is>
          <t>formula reference drift</t>
        </is>
      </c>
    </row>
    <row r="50">
      <c r="A50" s="91" t="inlineStr">
        <is>
          <t>P3</t>
        </is>
      </c>
      <c r="B50" s="91" t="inlineStr">
        <is>
          <t>R5</t>
        </is>
      </c>
      <c r="C50" s="91" t="inlineStr">
        <is>
          <t>$W$8</t>
        </is>
      </c>
      <c r="D50" s="91" t="inlineStr">
        <is>
          <t>-&gt; named anchors</t>
        </is>
      </c>
      <c r="E50" s="91" t="inlineStr">
        <is>
          <t>formula reference drift</t>
        </is>
      </c>
    </row>
    <row r="51">
      <c r="A51" s="91" t="inlineStr">
        <is>
          <t>P3</t>
        </is>
      </c>
      <c r="B51" s="91" t="inlineStr">
        <is>
          <t>S5</t>
        </is>
      </c>
      <c r="C51" s="91" t="inlineStr">
        <is>
          <t>$Y$14</t>
        </is>
      </c>
      <c r="D51" s="91" t="inlineStr">
        <is>
          <t>-&gt; named anchors</t>
        </is>
      </c>
      <c r="E51" s="91" t="inlineStr">
        <is>
          <t>formula reference drift</t>
        </is>
      </c>
    </row>
    <row r="52">
      <c r="A52" s="91" t="inlineStr">
        <is>
          <t>P3</t>
        </is>
      </c>
      <c r="B52" s="91" t="inlineStr">
        <is>
          <t>T5</t>
        </is>
      </c>
      <c r="C52" s="91" t="inlineStr">
        <is>
          <t>$W$8</t>
        </is>
      </c>
      <c r="D52" s="91" t="inlineStr">
        <is>
          <t>-&gt; named anchors</t>
        </is>
      </c>
      <c r="E52" s="91" t="inlineStr">
        <is>
          <t>formula reference drift</t>
        </is>
      </c>
    </row>
    <row r="53">
      <c r="A53" s="91" t="inlineStr">
        <is>
          <t>P3</t>
        </is>
      </c>
      <c r="B53" s="91" t="inlineStr">
        <is>
          <t>K6</t>
        </is>
      </c>
      <c r="C53" s="91" t="inlineStr">
        <is>
          <t>$W$8</t>
        </is>
      </c>
      <c r="D53" s="91" t="inlineStr">
        <is>
          <t>-&gt; named anchors</t>
        </is>
      </c>
      <c r="E53" s="91" t="inlineStr">
        <is>
          <t>formula reference drift</t>
        </is>
      </c>
    </row>
    <row r="54">
      <c r="A54" s="91" t="inlineStr">
        <is>
          <t>P3</t>
        </is>
      </c>
      <c r="B54" s="91" t="inlineStr">
        <is>
          <t>L6</t>
        </is>
      </c>
      <c r="C54" s="91" t="inlineStr">
        <is>
          <t>$Y$11</t>
        </is>
      </c>
      <c r="D54" s="91" t="inlineStr">
        <is>
          <t>-&gt; named anchors</t>
        </is>
      </c>
      <c r="E54" s="91" t="inlineStr">
        <is>
          <t>formula reference drift</t>
        </is>
      </c>
    </row>
    <row r="55">
      <c r="A55" s="91" t="inlineStr">
        <is>
          <t>P3</t>
        </is>
      </c>
      <c r="B55" s="91" t="inlineStr">
        <is>
          <t>N6</t>
        </is>
      </c>
      <c r="C55" s="91" t="inlineStr">
        <is>
          <t>/135</t>
        </is>
      </c>
      <c r="D55" s="91" t="inlineStr">
        <is>
          <t>-&gt; named anchors</t>
        </is>
      </c>
      <c r="E55" s="91" t="inlineStr">
        <is>
          <t>formula reference drift</t>
        </is>
      </c>
    </row>
    <row r="56">
      <c r="A56" s="91" t="inlineStr">
        <is>
          <t>P3</t>
        </is>
      </c>
      <c r="B56" s="91" t="inlineStr">
        <is>
          <t>O6</t>
        </is>
      </c>
      <c r="C56" s="91" t="inlineStr">
        <is>
          <t>$Y$12</t>
        </is>
      </c>
      <c r="D56" s="91" t="inlineStr">
        <is>
          <t>-&gt; named anchors</t>
        </is>
      </c>
      <c r="E56" s="91" t="inlineStr">
        <is>
          <t>formula reference drift</t>
        </is>
      </c>
    </row>
    <row r="57">
      <c r="A57" s="91" t="inlineStr">
        <is>
          <t>P3</t>
        </is>
      </c>
      <c r="B57" s="91" t="inlineStr">
        <is>
          <t>P6</t>
        </is>
      </c>
      <c r="C57" s="91" t="inlineStr">
        <is>
          <t>$W$8</t>
        </is>
      </c>
      <c r="D57" s="91" t="inlineStr">
        <is>
          <t>-&gt; named anchors</t>
        </is>
      </c>
      <c r="E57" s="91" t="inlineStr">
        <is>
          <t>formula reference drift</t>
        </is>
      </c>
    </row>
    <row r="58">
      <c r="A58" s="91" t="inlineStr">
        <is>
          <t>P3</t>
        </is>
      </c>
      <c r="B58" s="91" t="inlineStr">
        <is>
          <t>Q6</t>
        </is>
      </c>
      <c r="C58" s="91" t="inlineStr">
        <is>
          <t>$Y$13</t>
        </is>
      </c>
      <c r="D58" s="91" t="inlineStr">
        <is>
          <t>-&gt; named anchors</t>
        </is>
      </c>
      <c r="E58" s="91" t="inlineStr">
        <is>
          <t>formula reference drift</t>
        </is>
      </c>
    </row>
    <row r="59">
      <c r="A59" s="91" t="inlineStr">
        <is>
          <t>P3</t>
        </is>
      </c>
      <c r="B59" s="91" t="inlineStr">
        <is>
          <t>R6</t>
        </is>
      </c>
      <c r="C59" s="91" t="inlineStr">
        <is>
          <t>$W$8</t>
        </is>
      </c>
      <c r="D59" s="91" t="inlineStr">
        <is>
          <t>-&gt; named anchors</t>
        </is>
      </c>
      <c r="E59" s="91" t="inlineStr">
        <is>
          <t>formula reference drift</t>
        </is>
      </c>
    </row>
    <row r="60">
      <c r="A60" s="91" t="inlineStr">
        <is>
          <t>P3</t>
        </is>
      </c>
      <c r="B60" s="91" t="inlineStr">
        <is>
          <t>S6</t>
        </is>
      </c>
      <c r="C60" s="91" t="inlineStr">
        <is>
          <t>$Y$14</t>
        </is>
      </c>
      <c r="D60" s="91" t="inlineStr">
        <is>
          <t>-&gt; named anchors</t>
        </is>
      </c>
      <c r="E60" s="91" t="inlineStr">
        <is>
          <t>formula reference drift</t>
        </is>
      </c>
    </row>
    <row r="61">
      <c r="A61" s="91" t="inlineStr">
        <is>
          <t>P3</t>
        </is>
      </c>
      <c r="B61" s="91" t="inlineStr">
        <is>
          <t>T6</t>
        </is>
      </c>
      <c r="C61" s="91" t="inlineStr">
        <is>
          <t>$W$8</t>
        </is>
      </c>
      <c r="D61" s="91" t="inlineStr">
        <is>
          <t>-&gt; named anchors</t>
        </is>
      </c>
      <c r="E61" s="91" t="inlineStr">
        <is>
          <t>formula reference drift</t>
        </is>
      </c>
    </row>
    <row r="62">
      <c r="A62" s="91" t="inlineStr">
        <is>
          <t>P3</t>
        </is>
      </c>
      <c r="B62" s="91" t="inlineStr">
        <is>
          <t>K7</t>
        </is>
      </c>
      <c r="C62" s="91" t="inlineStr">
        <is>
          <t>$W$8</t>
        </is>
      </c>
      <c r="D62" s="91" t="inlineStr">
        <is>
          <t>-&gt; named anchors</t>
        </is>
      </c>
      <c r="E62" s="91" t="inlineStr">
        <is>
          <t>formula reference drift</t>
        </is>
      </c>
    </row>
    <row r="63">
      <c r="A63" s="91" t="inlineStr">
        <is>
          <t>P3</t>
        </is>
      </c>
      <c r="B63" s="91" t="inlineStr">
        <is>
          <t>L7</t>
        </is>
      </c>
      <c r="C63" s="91" t="inlineStr">
        <is>
          <t>$Y$11</t>
        </is>
      </c>
      <c r="D63" s="91" t="inlineStr">
        <is>
          <t>-&gt; named anchors</t>
        </is>
      </c>
      <c r="E63" s="91" t="inlineStr">
        <is>
          <t>formula reference drift</t>
        </is>
      </c>
    </row>
    <row r="64">
      <c r="A64" s="91" t="inlineStr">
        <is>
          <t>P3</t>
        </is>
      </c>
      <c r="B64" s="91" t="inlineStr">
        <is>
          <t>N7</t>
        </is>
      </c>
      <c r="C64" s="91" t="inlineStr">
        <is>
          <t>/135</t>
        </is>
      </c>
      <c r="D64" s="91" t="inlineStr">
        <is>
          <t>-&gt; named anchors</t>
        </is>
      </c>
      <c r="E64" s="91" t="inlineStr">
        <is>
          <t>formula reference drift</t>
        </is>
      </c>
    </row>
    <row r="65">
      <c r="A65" s="91" t="inlineStr">
        <is>
          <t>P3</t>
        </is>
      </c>
      <c r="B65" s="91" t="inlineStr">
        <is>
          <t>O7</t>
        </is>
      </c>
      <c r="C65" s="91" t="inlineStr">
        <is>
          <t>$Y$12</t>
        </is>
      </c>
      <c r="D65" s="91" t="inlineStr">
        <is>
          <t>-&gt; named anchors</t>
        </is>
      </c>
      <c r="E65" s="91" t="inlineStr">
        <is>
          <t>formula reference drift</t>
        </is>
      </c>
    </row>
    <row r="66">
      <c r="A66" s="91" t="inlineStr">
        <is>
          <t>P3</t>
        </is>
      </c>
      <c r="B66" s="91" t="inlineStr">
        <is>
          <t>P7</t>
        </is>
      </c>
      <c r="C66" s="91" t="inlineStr">
        <is>
          <t>$W$8</t>
        </is>
      </c>
      <c r="D66" s="91" t="inlineStr">
        <is>
          <t>-&gt; named anchors</t>
        </is>
      </c>
      <c r="E66" s="91" t="inlineStr">
        <is>
          <t>formula reference drift</t>
        </is>
      </c>
    </row>
    <row r="67">
      <c r="A67" s="91" t="inlineStr">
        <is>
          <t>P3</t>
        </is>
      </c>
      <c r="B67" s="91" t="inlineStr">
        <is>
          <t>Q7</t>
        </is>
      </c>
      <c r="C67" s="91" t="inlineStr">
        <is>
          <t>$Y$13</t>
        </is>
      </c>
      <c r="D67" s="91" t="inlineStr">
        <is>
          <t>-&gt; named anchors</t>
        </is>
      </c>
      <c r="E67" s="91" t="inlineStr">
        <is>
          <t>formula reference drift</t>
        </is>
      </c>
    </row>
    <row r="68">
      <c r="A68" s="91" t="inlineStr">
        <is>
          <t>P3</t>
        </is>
      </c>
      <c r="B68" s="91" t="inlineStr">
        <is>
          <t>R7</t>
        </is>
      </c>
      <c r="C68" s="91" t="inlineStr">
        <is>
          <t>$W$8</t>
        </is>
      </c>
      <c r="D68" s="91" t="inlineStr">
        <is>
          <t>-&gt; named anchors</t>
        </is>
      </c>
      <c r="E68" s="91" t="inlineStr">
        <is>
          <t>formula reference drift</t>
        </is>
      </c>
    </row>
    <row r="69">
      <c r="A69" s="91" t="inlineStr">
        <is>
          <t>P3</t>
        </is>
      </c>
      <c r="B69" s="91" t="inlineStr">
        <is>
          <t>S7</t>
        </is>
      </c>
      <c r="C69" s="91" t="inlineStr">
        <is>
          <t>$Y$14</t>
        </is>
      </c>
      <c r="D69" s="91" t="inlineStr">
        <is>
          <t>-&gt; named anchors</t>
        </is>
      </c>
      <c r="E69" s="91" t="inlineStr">
        <is>
          <t>formula reference drift</t>
        </is>
      </c>
    </row>
    <row r="70">
      <c r="A70" s="91" t="inlineStr">
        <is>
          <t>P3</t>
        </is>
      </c>
      <c r="B70" s="91" t="inlineStr">
        <is>
          <t>T7</t>
        </is>
      </c>
      <c r="C70" s="91" t="inlineStr">
        <is>
          <t>$W$8</t>
        </is>
      </c>
      <c r="D70" s="91" t="inlineStr">
        <is>
          <t>-&gt; named anchors</t>
        </is>
      </c>
      <c r="E70" s="91" t="inlineStr">
        <is>
          <t>formula reference drift</t>
        </is>
      </c>
    </row>
    <row r="71">
      <c r="A71" s="91" t="inlineStr">
        <is>
          <t>P3</t>
        </is>
      </c>
      <c r="B71" s="91" t="inlineStr">
        <is>
          <t>K8</t>
        </is>
      </c>
      <c r="C71" s="91" t="inlineStr">
        <is>
          <t>$W$8</t>
        </is>
      </c>
      <c r="D71" s="91" t="inlineStr">
        <is>
          <t>-&gt; named anchors</t>
        </is>
      </c>
      <c r="E71" s="91" t="inlineStr">
        <is>
          <t>formula reference drift</t>
        </is>
      </c>
    </row>
    <row r="72">
      <c r="A72" s="91" t="inlineStr">
        <is>
          <t>P3</t>
        </is>
      </c>
      <c r="B72" s="91" t="inlineStr">
        <is>
          <t>L8</t>
        </is>
      </c>
      <c r="C72" s="91" t="inlineStr">
        <is>
          <t>$Y$11</t>
        </is>
      </c>
      <c r="D72" s="91" t="inlineStr">
        <is>
          <t>-&gt; named anchors</t>
        </is>
      </c>
      <c r="E72" s="91" t="inlineStr">
        <is>
          <t>formula reference drift</t>
        </is>
      </c>
    </row>
    <row r="73">
      <c r="A73" s="91" t="inlineStr">
        <is>
          <t>P3</t>
        </is>
      </c>
      <c r="B73" s="91" t="inlineStr">
        <is>
          <t>N8</t>
        </is>
      </c>
      <c r="C73" s="91" t="inlineStr">
        <is>
          <t>/135</t>
        </is>
      </c>
      <c r="D73" s="91" t="inlineStr">
        <is>
          <t>-&gt; named anchors</t>
        </is>
      </c>
      <c r="E73" s="91" t="inlineStr">
        <is>
          <t>formula reference drift</t>
        </is>
      </c>
    </row>
    <row r="74">
      <c r="A74" s="91" t="inlineStr">
        <is>
          <t>P3</t>
        </is>
      </c>
      <c r="B74" s="91" t="inlineStr">
        <is>
          <t>O8</t>
        </is>
      </c>
      <c r="C74" s="91" t="inlineStr">
        <is>
          <t>$Y$12</t>
        </is>
      </c>
      <c r="D74" s="91" t="inlineStr">
        <is>
          <t>-&gt; named anchors</t>
        </is>
      </c>
      <c r="E74" s="91" t="inlineStr">
        <is>
          <t>formula reference drift</t>
        </is>
      </c>
    </row>
    <row r="75">
      <c r="A75" s="91" t="inlineStr">
        <is>
          <t>P3</t>
        </is>
      </c>
      <c r="B75" s="91" t="inlineStr">
        <is>
          <t>P8</t>
        </is>
      </c>
      <c r="C75" s="91" t="inlineStr">
        <is>
          <t>$W$8</t>
        </is>
      </c>
      <c r="D75" s="91" t="inlineStr">
        <is>
          <t>-&gt; named anchors</t>
        </is>
      </c>
      <c r="E75" s="91" t="inlineStr">
        <is>
          <t>formula reference drift</t>
        </is>
      </c>
    </row>
    <row r="76">
      <c r="A76" s="91" t="inlineStr">
        <is>
          <t>P3</t>
        </is>
      </c>
      <c r="B76" s="91" t="inlineStr">
        <is>
          <t>Q8</t>
        </is>
      </c>
      <c r="C76" s="91" t="inlineStr">
        <is>
          <t>$Y$13</t>
        </is>
      </c>
      <c r="D76" s="91" t="inlineStr">
        <is>
          <t>-&gt; named anchors</t>
        </is>
      </c>
      <c r="E76" s="91" t="inlineStr">
        <is>
          <t>formula reference drift</t>
        </is>
      </c>
    </row>
    <row r="77">
      <c r="A77" s="91" t="inlineStr">
        <is>
          <t>P3</t>
        </is>
      </c>
      <c r="B77" s="91" t="inlineStr">
        <is>
          <t>R8</t>
        </is>
      </c>
      <c r="C77" s="91" t="inlineStr">
        <is>
          <t>$W$8</t>
        </is>
      </c>
      <c r="D77" s="91" t="inlineStr">
        <is>
          <t>-&gt; named anchors</t>
        </is>
      </c>
      <c r="E77" s="91" t="inlineStr">
        <is>
          <t>formula reference drift</t>
        </is>
      </c>
    </row>
    <row r="78">
      <c r="A78" s="91" t="inlineStr">
        <is>
          <t>P3</t>
        </is>
      </c>
      <c r="B78" s="91" t="inlineStr">
        <is>
          <t>S8</t>
        </is>
      </c>
      <c r="C78" s="91" t="inlineStr">
        <is>
          <t>$Y$14</t>
        </is>
      </c>
      <c r="D78" s="91" t="inlineStr">
        <is>
          <t>-&gt; named anchors</t>
        </is>
      </c>
      <c r="E78" s="91" t="inlineStr">
        <is>
          <t>formula reference drift</t>
        </is>
      </c>
    </row>
    <row r="79">
      <c r="A79" s="91" t="inlineStr">
        <is>
          <t>P3</t>
        </is>
      </c>
      <c r="B79" s="91" t="inlineStr">
        <is>
          <t>T8</t>
        </is>
      </c>
      <c r="C79" s="91" t="inlineStr">
        <is>
          <t>$W$8</t>
        </is>
      </c>
      <c r="D79" s="91" t="inlineStr">
        <is>
          <t>-&gt; named anchors</t>
        </is>
      </c>
      <c r="E79" s="91" t="inlineStr">
        <is>
          <t>formula reference drift</t>
        </is>
      </c>
    </row>
    <row r="80">
      <c r="A80" s="91" t="inlineStr">
        <is>
          <t>P3</t>
        </is>
      </c>
      <c r="B80" s="91" t="inlineStr">
        <is>
          <t>K9</t>
        </is>
      </c>
      <c r="C80" s="91" t="inlineStr">
        <is>
          <t>$W$8</t>
        </is>
      </c>
      <c r="D80" s="91" t="inlineStr">
        <is>
          <t>-&gt; named anchors</t>
        </is>
      </c>
      <c r="E80" s="91" t="inlineStr">
        <is>
          <t>formula reference drift</t>
        </is>
      </c>
    </row>
    <row r="81">
      <c r="A81" s="91" t="inlineStr">
        <is>
          <t>P3</t>
        </is>
      </c>
      <c r="B81" s="91" t="inlineStr">
        <is>
          <t>L9</t>
        </is>
      </c>
      <c r="C81" s="91" t="inlineStr">
        <is>
          <t>$Y$11</t>
        </is>
      </c>
      <c r="D81" s="91" t="inlineStr">
        <is>
          <t>-&gt; named anchors</t>
        </is>
      </c>
      <c r="E81" s="91" t="inlineStr">
        <is>
          <t>formula reference drift</t>
        </is>
      </c>
    </row>
    <row r="82">
      <c r="A82" s="91" t="inlineStr">
        <is>
          <t>P3</t>
        </is>
      </c>
      <c r="B82" s="91" t="inlineStr">
        <is>
          <t>N9</t>
        </is>
      </c>
      <c r="C82" s="91" t="inlineStr">
        <is>
          <t>/135</t>
        </is>
      </c>
      <c r="D82" s="91" t="inlineStr">
        <is>
          <t>-&gt; named anchors</t>
        </is>
      </c>
      <c r="E82" s="91" t="inlineStr">
        <is>
          <t>formula reference drift</t>
        </is>
      </c>
    </row>
    <row r="83">
      <c r="A83" s="91" t="inlineStr">
        <is>
          <t>P3</t>
        </is>
      </c>
      <c r="B83" s="91" t="inlineStr">
        <is>
          <t>O9</t>
        </is>
      </c>
      <c r="C83" s="91" t="inlineStr">
        <is>
          <t>$Y$12</t>
        </is>
      </c>
      <c r="D83" s="91" t="inlineStr">
        <is>
          <t>-&gt; named anchors</t>
        </is>
      </c>
      <c r="E83" s="91" t="inlineStr">
        <is>
          <t>formula reference drift</t>
        </is>
      </c>
    </row>
    <row r="84">
      <c r="A84" s="91" t="inlineStr">
        <is>
          <t>P3</t>
        </is>
      </c>
      <c r="B84" s="91" t="inlineStr">
        <is>
          <t>P9</t>
        </is>
      </c>
      <c r="C84" s="91" t="inlineStr">
        <is>
          <t>$W$8</t>
        </is>
      </c>
      <c r="D84" s="91" t="inlineStr">
        <is>
          <t>-&gt; named anchors</t>
        </is>
      </c>
      <c r="E84" s="91" t="inlineStr">
        <is>
          <t>formula reference drift</t>
        </is>
      </c>
    </row>
    <row r="85">
      <c r="A85" s="91" t="inlineStr">
        <is>
          <t>P3</t>
        </is>
      </c>
      <c r="B85" s="91" t="inlineStr">
        <is>
          <t>Q9</t>
        </is>
      </c>
      <c r="C85" s="91" t="inlineStr">
        <is>
          <t>$Y$13</t>
        </is>
      </c>
      <c r="D85" s="91" t="inlineStr">
        <is>
          <t>-&gt; named anchors</t>
        </is>
      </c>
      <c r="E85" s="91" t="inlineStr">
        <is>
          <t>formula reference drift</t>
        </is>
      </c>
    </row>
    <row r="86">
      <c r="A86" s="91" t="inlineStr">
        <is>
          <t>P3</t>
        </is>
      </c>
      <c r="B86" s="91" t="inlineStr">
        <is>
          <t>R9</t>
        </is>
      </c>
      <c r="C86" s="91" t="inlineStr">
        <is>
          <t>$W$8</t>
        </is>
      </c>
      <c r="D86" s="91" t="inlineStr">
        <is>
          <t>-&gt; named anchors</t>
        </is>
      </c>
      <c r="E86" s="91" t="inlineStr">
        <is>
          <t>formula reference drift</t>
        </is>
      </c>
    </row>
    <row r="87">
      <c r="A87" s="91" t="inlineStr">
        <is>
          <t>P3</t>
        </is>
      </c>
      <c r="B87" s="91" t="inlineStr">
        <is>
          <t>S9</t>
        </is>
      </c>
      <c r="C87" s="91" t="inlineStr">
        <is>
          <t>$Y$14</t>
        </is>
      </c>
      <c r="D87" s="91" t="inlineStr">
        <is>
          <t>-&gt; named anchors</t>
        </is>
      </c>
      <c r="E87" s="91" t="inlineStr">
        <is>
          <t>formula reference drift</t>
        </is>
      </c>
    </row>
    <row r="88">
      <c r="A88" s="91" t="inlineStr">
        <is>
          <t>P3</t>
        </is>
      </c>
      <c r="B88" s="91" t="inlineStr">
        <is>
          <t>T9</t>
        </is>
      </c>
      <c r="C88" s="91" t="inlineStr">
        <is>
          <t>$W$8</t>
        </is>
      </c>
      <c r="D88" s="91" t="inlineStr">
        <is>
          <t>-&gt; named anchors</t>
        </is>
      </c>
      <c r="E88" s="91" t="inlineStr">
        <is>
          <t>formula reference drift</t>
        </is>
      </c>
    </row>
    <row r="89">
      <c r="A89" s="91" t="inlineStr">
        <is>
          <t>P3</t>
        </is>
      </c>
      <c r="B89" s="91" t="inlineStr">
        <is>
          <t>K10</t>
        </is>
      </c>
      <c r="C89" s="91" t="inlineStr">
        <is>
          <t>$W$8</t>
        </is>
      </c>
      <c r="D89" s="91" t="inlineStr">
        <is>
          <t>-&gt; named anchors</t>
        </is>
      </c>
      <c r="E89" s="91" t="inlineStr">
        <is>
          <t>formula reference drift</t>
        </is>
      </c>
    </row>
    <row r="90">
      <c r="A90" s="91" t="inlineStr">
        <is>
          <t>P3</t>
        </is>
      </c>
      <c r="B90" s="91" t="inlineStr">
        <is>
          <t>L10</t>
        </is>
      </c>
      <c r="C90" s="91" t="inlineStr">
        <is>
          <t>$Y$11</t>
        </is>
      </c>
      <c r="D90" s="91" t="inlineStr">
        <is>
          <t>-&gt; named anchors</t>
        </is>
      </c>
      <c r="E90" s="91" t="inlineStr">
        <is>
          <t>formula reference drift</t>
        </is>
      </c>
    </row>
    <row r="91">
      <c r="A91" s="91" t="inlineStr">
        <is>
          <t>P3</t>
        </is>
      </c>
      <c r="B91" s="91" t="inlineStr">
        <is>
          <t>N10</t>
        </is>
      </c>
      <c r="C91" s="91" t="inlineStr">
        <is>
          <t>/135</t>
        </is>
      </c>
      <c r="D91" s="91" t="inlineStr">
        <is>
          <t>-&gt; named anchors</t>
        </is>
      </c>
      <c r="E91" s="91" t="inlineStr">
        <is>
          <t>formula reference drift</t>
        </is>
      </c>
    </row>
    <row r="92">
      <c r="A92" s="91" t="inlineStr">
        <is>
          <t>P3</t>
        </is>
      </c>
      <c r="B92" s="91" t="inlineStr">
        <is>
          <t>O10</t>
        </is>
      </c>
      <c r="C92" s="91" t="inlineStr">
        <is>
          <t>$Y$12</t>
        </is>
      </c>
      <c r="D92" s="91" t="inlineStr">
        <is>
          <t>-&gt; named anchors</t>
        </is>
      </c>
      <c r="E92" s="91" t="inlineStr">
        <is>
          <t>formula reference drift</t>
        </is>
      </c>
    </row>
    <row r="93">
      <c r="A93" s="91" t="inlineStr">
        <is>
          <t>P3</t>
        </is>
      </c>
      <c r="B93" s="91" t="inlineStr">
        <is>
          <t>P10</t>
        </is>
      </c>
      <c r="C93" s="91" t="inlineStr">
        <is>
          <t>$W$8</t>
        </is>
      </c>
      <c r="D93" s="91" t="inlineStr">
        <is>
          <t>-&gt; named anchors</t>
        </is>
      </c>
      <c r="E93" s="91" t="inlineStr">
        <is>
          <t>formula reference drift</t>
        </is>
      </c>
    </row>
    <row r="94">
      <c r="A94" s="91" t="inlineStr">
        <is>
          <t>P3</t>
        </is>
      </c>
      <c r="B94" s="91" t="inlineStr">
        <is>
          <t>Q10</t>
        </is>
      </c>
      <c r="C94" s="91" t="inlineStr">
        <is>
          <t>$Y$13</t>
        </is>
      </c>
      <c r="D94" s="91" t="inlineStr">
        <is>
          <t>-&gt; named anchors</t>
        </is>
      </c>
      <c r="E94" s="91" t="inlineStr">
        <is>
          <t>formula reference drift</t>
        </is>
      </c>
    </row>
    <row r="95">
      <c r="A95" s="91" t="inlineStr">
        <is>
          <t>P3</t>
        </is>
      </c>
      <c r="B95" s="91" t="inlineStr">
        <is>
          <t>R10</t>
        </is>
      </c>
      <c r="C95" s="91" t="inlineStr">
        <is>
          <t>$W$8</t>
        </is>
      </c>
      <c r="D95" s="91" t="inlineStr">
        <is>
          <t>-&gt; named anchors</t>
        </is>
      </c>
      <c r="E95" s="91" t="inlineStr">
        <is>
          <t>formula reference drift</t>
        </is>
      </c>
    </row>
    <row r="96">
      <c r="A96" s="91" t="inlineStr">
        <is>
          <t>P3</t>
        </is>
      </c>
      <c r="B96" s="91" t="inlineStr">
        <is>
          <t>S10</t>
        </is>
      </c>
      <c r="C96" s="91" t="inlineStr">
        <is>
          <t>$Y$14</t>
        </is>
      </c>
      <c r="D96" s="91" t="inlineStr">
        <is>
          <t>-&gt; named anchors</t>
        </is>
      </c>
      <c r="E96" s="91" t="inlineStr">
        <is>
          <t>formula reference drift</t>
        </is>
      </c>
    </row>
    <row r="97">
      <c r="A97" s="91" t="inlineStr">
        <is>
          <t>P3</t>
        </is>
      </c>
      <c r="B97" s="91" t="inlineStr">
        <is>
          <t>T10</t>
        </is>
      </c>
      <c r="C97" s="91" t="inlineStr">
        <is>
          <t>$W$8</t>
        </is>
      </c>
      <c r="D97" s="91" t="inlineStr">
        <is>
          <t>-&gt; named anchors</t>
        </is>
      </c>
      <c r="E97" s="91" t="inlineStr">
        <is>
          <t>formula reference drift</t>
        </is>
      </c>
    </row>
    <row r="98">
      <c r="A98" s="91" t="inlineStr">
        <is>
          <t>P3</t>
        </is>
      </c>
      <c r="B98" s="91" t="inlineStr">
        <is>
          <t>K11</t>
        </is>
      </c>
      <c r="C98" s="91" t="inlineStr">
        <is>
          <t>$W$8</t>
        </is>
      </c>
      <c r="D98" s="91" t="inlineStr">
        <is>
          <t>-&gt; named anchors</t>
        </is>
      </c>
      <c r="E98" s="91" t="inlineStr">
        <is>
          <t>formula reference drift</t>
        </is>
      </c>
    </row>
    <row r="99">
      <c r="A99" s="91" t="inlineStr">
        <is>
          <t>P3</t>
        </is>
      </c>
      <c r="B99" s="91" t="inlineStr">
        <is>
          <t>L11</t>
        </is>
      </c>
      <c r="C99" s="91" t="inlineStr">
        <is>
          <t>$Y$11</t>
        </is>
      </c>
      <c r="D99" s="91" t="inlineStr">
        <is>
          <t>-&gt; named anchors</t>
        </is>
      </c>
      <c r="E99" s="91" t="inlineStr">
        <is>
          <t>formula reference drift</t>
        </is>
      </c>
    </row>
    <row r="100">
      <c r="A100" s="91" t="inlineStr">
        <is>
          <t>P3</t>
        </is>
      </c>
      <c r="B100" s="91" t="inlineStr">
        <is>
          <t>N11</t>
        </is>
      </c>
      <c r="C100" s="91" t="inlineStr">
        <is>
          <t>/135</t>
        </is>
      </c>
      <c r="D100" s="91" t="inlineStr">
        <is>
          <t>-&gt; named anchors</t>
        </is>
      </c>
      <c r="E100" s="91" t="inlineStr">
        <is>
          <t>formula reference drift</t>
        </is>
      </c>
    </row>
    <row r="101">
      <c r="A101" s="91" t="inlineStr">
        <is>
          <t>P3</t>
        </is>
      </c>
      <c r="B101" s="91" t="inlineStr">
        <is>
          <t>O11</t>
        </is>
      </c>
      <c r="C101" s="91" t="inlineStr">
        <is>
          <t>$Y$12</t>
        </is>
      </c>
      <c r="D101" s="91" t="inlineStr">
        <is>
          <t>-&gt; named anchors</t>
        </is>
      </c>
      <c r="E101" s="91" t="inlineStr">
        <is>
          <t>formula reference drift</t>
        </is>
      </c>
    </row>
    <row r="102">
      <c r="A102" s="91" t="inlineStr">
        <is>
          <t>P3</t>
        </is>
      </c>
      <c r="B102" s="91" t="inlineStr">
        <is>
          <t>P11</t>
        </is>
      </c>
      <c r="C102" s="91" t="inlineStr">
        <is>
          <t>$W$8</t>
        </is>
      </c>
      <c r="D102" s="91" t="inlineStr">
        <is>
          <t>-&gt; named anchors</t>
        </is>
      </c>
      <c r="E102" s="91" t="inlineStr">
        <is>
          <t>formula reference drift</t>
        </is>
      </c>
    </row>
    <row r="103">
      <c r="A103" s="91" t="inlineStr">
        <is>
          <t>P3</t>
        </is>
      </c>
      <c r="B103" s="91" t="inlineStr">
        <is>
          <t>Q11</t>
        </is>
      </c>
      <c r="C103" s="91" t="inlineStr">
        <is>
          <t>$Y$13</t>
        </is>
      </c>
      <c r="D103" s="91" t="inlineStr">
        <is>
          <t>-&gt; named anchors</t>
        </is>
      </c>
      <c r="E103" s="91" t="inlineStr">
        <is>
          <t>formula reference drift</t>
        </is>
      </c>
    </row>
    <row r="104">
      <c r="A104" s="91" t="inlineStr">
        <is>
          <t>P3</t>
        </is>
      </c>
      <c r="B104" s="91" t="inlineStr">
        <is>
          <t>R11</t>
        </is>
      </c>
      <c r="C104" s="91" t="inlineStr">
        <is>
          <t>$W$8</t>
        </is>
      </c>
      <c r="D104" s="91" t="inlineStr">
        <is>
          <t>-&gt; named anchors</t>
        </is>
      </c>
      <c r="E104" s="91" t="inlineStr">
        <is>
          <t>formula reference drift</t>
        </is>
      </c>
    </row>
    <row r="105">
      <c r="A105" s="91" t="inlineStr">
        <is>
          <t>P3</t>
        </is>
      </c>
      <c r="B105" s="91" t="inlineStr">
        <is>
          <t>S11</t>
        </is>
      </c>
      <c r="C105" s="91" t="inlineStr">
        <is>
          <t>$Y$14</t>
        </is>
      </c>
      <c r="D105" s="91" t="inlineStr">
        <is>
          <t>-&gt; named anchors</t>
        </is>
      </c>
      <c r="E105" s="91" t="inlineStr">
        <is>
          <t>formula reference drift</t>
        </is>
      </c>
    </row>
    <row r="106">
      <c r="A106" s="91" t="inlineStr">
        <is>
          <t>P3</t>
        </is>
      </c>
      <c r="B106" s="91" t="inlineStr">
        <is>
          <t>T11</t>
        </is>
      </c>
      <c r="C106" s="91" t="inlineStr">
        <is>
          <t>$W$8</t>
        </is>
      </c>
      <c r="D106" s="91" t="inlineStr">
        <is>
          <t>-&gt; named anchors</t>
        </is>
      </c>
      <c r="E106" s="91" t="inlineStr">
        <is>
          <t>formula reference drift</t>
        </is>
      </c>
    </row>
    <row r="107">
      <c r="A107" s="91" t="inlineStr">
        <is>
          <t>P3</t>
        </is>
      </c>
      <c r="B107" s="91" t="inlineStr">
        <is>
          <t>K12</t>
        </is>
      </c>
      <c r="C107" s="91" t="inlineStr">
        <is>
          <t>$W$8</t>
        </is>
      </c>
      <c r="D107" s="91" t="inlineStr">
        <is>
          <t>-&gt; named anchors</t>
        </is>
      </c>
      <c r="E107" s="91" t="inlineStr">
        <is>
          <t>formula reference drift</t>
        </is>
      </c>
    </row>
    <row r="108">
      <c r="A108" s="91" t="inlineStr">
        <is>
          <t>P3</t>
        </is>
      </c>
      <c r="B108" s="91" t="inlineStr">
        <is>
          <t>L12</t>
        </is>
      </c>
      <c r="C108" s="91" t="inlineStr">
        <is>
          <t>$Z$11</t>
        </is>
      </c>
      <c r="D108" s="91" t="inlineStr">
        <is>
          <t>-&gt; named anchors</t>
        </is>
      </c>
      <c r="E108" s="91" t="inlineStr">
        <is>
          <t>formula reference drift</t>
        </is>
      </c>
    </row>
    <row r="109">
      <c r="A109" s="91" t="inlineStr">
        <is>
          <t>P3</t>
        </is>
      </c>
      <c r="B109" s="91" t="inlineStr">
        <is>
          <t>N12</t>
        </is>
      </c>
      <c r="C109" s="91" t="inlineStr">
        <is>
          <t>/135</t>
        </is>
      </c>
      <c r="D109" s="91" t="inlineStr">
        <is>
          <t>-&gt; named anchors</t>
        </is>
      </c>
      <c r="E109" s="91" t="inlineStr">
        <is>
          <t>formula reference drift</t>
        </is>
      </c>
    </row>
    <row r="110">
      <c r="A110" s="91" t="inlineStr">
        <is>
          <t>P3</t>
        </is>
      </c>
      <c r="B110" s="91" t="inlineStr">
        <is>
          <t>O12</t>
        </is>
      </c>
      <c r="C110" s="91" t="inlineStr">
        <is>
          <t>$Y$12</t>
        </is>
      </c>
      <c r="D110" s="91" t="inlineStr">
        <is>
          <t>-&gt; named anchors</t>
        </is>
      </c>
      <c r="E110" s="91" t="inlineStr">
        <is>
          <t>formula reference drift</t>
        </is>
      </c>
    </row>
    <row r="111">
      <c r="A111" s="91" t="inlineStr">
        <is>
          <t>P3</t>
        </is>
      </c>
      <c r="B111" s="91" t="inlineStr">
        <is>
          <t>P12</t>
        </is>
      </c>
      <c r="C111" s="91" t="inlineStr">
        <is>
          <t>$W$8</t>
        </is>
      </c>
      <c r="D111" s="91" t="inlineStr">
        <is>
          <t>-&gt; named anchors</t>
        </is>
      </c>
      <c r="E111" s="91" t="inlineStr">
        <is>
          <t>formula reference drift</t>
        </is>
      </c>
    </row>
    <row r="112">
      <c r="A112" s="91" t="inlineStr">
        <is>
          <t>P3</t>
        </is>
      </c>
      <c r="B112" s="91" t="inlineStr">
        <is>
          <t>Q12</t>
        </is>
      </c>
      <c r="C112" s="91" t="inlineStr">
        <is>
          <t>$Y$13</t>
        </is>
      </c>
      <c r="D112" s="91" t="inlineStr">
        <is>
          <t>-&gt; named anchors</t>
        </is>
      </c>
      <c r="E112" s="91" t="inlineStr">
        <is>
          <t>formula reference drift</t>
        </is>
      </c>
    </row>
    <row r="113">
      <c r="A113" s="91" t="inlineStr">
        <is>
          <t>P3</t>
        </is>
      </c>
      <c r="B113" s="91" t="inlineStr">
        <is>
          <t>R12</t>
        </is>
      </c>
      <c r="C113" s="91" t="inlineStr">
        <is>
          <t>$W$8</t>
        </is>
      </c>
      <c r="D113" s="91" t="inlineStr">
        <is>
          <t>-&gt; named anchors</t>
        </is>
      </c>
      <c r="E113" s="91" t="inlineStr">
        <is>
          <t>formula reference drift</t>
        </is>
      </c>
    </row>
    <row r="114">
      <c r="A114" s="91" t="inlineStr">
        <is>
          <t>P3</t>
        </is>
      </c>
      <c r="B114" s="91" t="inlineStr">
        <is>
          <t>S12</t>
        </is>
      </c>
      <c r="C114" s="91" t="inlineStr">
        <is>
          <t>$Y$14</t>
        </is>
      </c>
      <c r="D114" s="91" t="inlineStr">
        <is>
          <t>-&gt; named anchors</t>
        </is>
      </c>
      <c r="E114" s="91" t="inlineStr">
        <is>
          <t>formula reference drift</t>
        </is>
      </c>
    </row>
    <row r="115">
      <c r="A115" s="91" t="inlineStr">
        <is>
          <t>P3</t>
        </is>
      </c>
      <c r="B115" s="91" t="inlineStr">
        <is>
          <t>T12</t>
        </is>
      </c>
      <c r="C115" s="91" t="inlineStr">
        <is>
          <t>$W$8</t>
        </is>
      </c>
      <c r="D115" s="91" t="inlineStr">
        <is>
          <t>-&gt; named anchors</t>
        </is>
      </c>
      <c r="E115" s="91" t="inlineStr">
        <is>
          <t>formula reference drift</t>
        </is>
      </c>
    </row>
    <row r="116">
      <c r="A116" s="91" t="inlineStr">
        <is>
          <t>P3</t>
        </is>
      </c>
      <c r="B116" s="91" t="inlineStr">
        <is>
          <t>K13</t>
        </is>
      </c>
      <c r="C116" s="91" t="inlineStr">
        <is>
          <t>$W$8</t>
        </is>
      </c>
      <c r="D116" s="91" t="inlineStr">
        <is>
          <t>-&gt; named anchors</t>
        </is>
      </c>
      <c r="E116" s="91" t="inlineStr">
        <is>
          <t>formula reference drift</t>
        </is>
      </c>
    </row>
    <row r="117">
      <c r="A117" s="91" t="inlineStr">
        <is>
          <t>P3</t>
        </is>
      </c>
      <c r="B117" s="91" t="inlineStr">
        <is>
          <t>L13</t>
        </is>
      </c>
      <c r="C117" s="91" t="inlineStr">
        <is>
          <t>$Y$11</t>
        </is>
      </c>
      <c r="D117" s="91" t="inlineStr">
        <is>
          <t>-&gt; named anchors</t>
        </is>
      </c>
      <c r="E117" s="91" t="inlineStr">
        <is>
          <t>formula reference drift</t>
        </is>
      </c>
    </row>
    <row r="118">
      <c r="A118" s="91" t="inlineStr">
        <is>
          <t>P3</t>
        </is>
      </c>
      <c r="B118" s="91" t="inlineStr">
        <is>
          <t>N13</t>
        </is>
      </c>
      <c r="C118" s="91" t="inlineStr">
        <is>
          <t>/135</t>
        </is>
      </c>
      <c r="D118" s="91" t="inlineStr">
        <is>
          <t>-&gt; named anchors</t>
        </is>
      </c>
      <c r="E118" s="91" t="inlineStr">
        <is>
          <t>formula reference drift</t>
        </is>
      </c>
    </row>
    <row r="119">
      <c r="A119" s="91" t="inlineStr">
        <is>
          <t>P3</t>
        </is>
      </c>
      <c r="B119" s="91" t="inlineStr">
        <is>
          <t>O13</t>
        </is>
      </c>
      <c r="C119" s="91" t="inlineStr">
        <is>
          <t>$Y$12</t>
        </is>
      </c>
      <c r="D119" s="91" t="inlineStr">
        <is>
          <t>-&gt; named anchors</t>
        </is>
      </c>
      <c r="E119" s="91" t="inlineStr">
        <is>
          <t>formula reference drift</t>
        </is>
      </c>
    </row>
    <row r="120">
      <c r="A120" s="91" t="inlineStr">
        <is>
          <t>P3</t>
        </is>
      </c>
      <c r="B120" s="91" t="inlineStr">
        <is>
          <t>P13</t>
        </is>
      </c>
      <c r="C120" s="91" t="inlineStr">
        <is>
          <t>$W$8</t>
        </is>
      </c>
      <c r="D120" s="91" t="inlineStr">
        <is>
          <t>-&gt; named anchors</t>
        </is>
      </c>
      <c r="E120" s="91" t="inlineStr">
        <is>
          <t>formula reference drift</t>
        </is>
      </c>
    </row>
    <row r="121">
      <c r="A121" s="91" t="inlineStr">
        <is>
          <t>P3</t>
        </is>
      </c>
      <c r="B121" s="91" t="inlineStr">
        <is>
          <t>Q13</t>
        </is>
      </c>
      <c r="C121" s="91" t="inlineStr">
        <is>
          <t>$Y$13</t>
        </is>
      </c>
      <c r="D121" s="91" t="inlineStr">
        <is>
          <t>-&gt; named anchors</t>
        </is>
      </c>
      <c r="E121" s="91" t="inlineStr">
        <is>
          <t>formula reference drift</t>
        </is>
      </c>
    </row>
    <row r="122">
      <c r="A122" s="91" t="inlineStr">
        <is>
          <t>P3</t>
        </is>
      </c>
      <c r="B122" s="91" t="inlineStr">
        <is>
          <t>R13</t>
        </is>
      </c>
      <c r="C122" s="91" t="inlineStr">
        <is>
          <t>$W$8</t>
        </is>
      </c>
      <c r="D122" s="91" t="inlineStr">
        <is>
          <t>-&gt; named anchors</t>
        </is>
      </c>
      <c r="E122" s="91" t="inlineStr">
        <is>
          <t>formula reference drift</t>
        </is>
      </c>
    </row>
    <row r="123">
      <c r="A123" s="91" t="inlineStr">
        <is>
          <t>P3</t>
        </is>
      </c>
      <c r="B123" s="91" t="inlineStr">
        <is>
          <t>S13</t>
        </is>
      </c>
      <c r="C123" s="91" t="inlineStr">
        <is>
          <t>$Y$14</t>
        </is>
      </c>
      <c r="D123" s="91" t="inlineStr">
        <is>
          <t>-&gt; named anchors</t>
        </is>
      </c>
      <c r="E123" s="91" t="inlineStr">
        <is>
          <t>formula reference drift</t>
        </is>
      </c>
    </row>
    <row r="124">
      <c r="A124" s="91" t="inlineStr">
        <is>
          <t>P3</t>
        </is>
      </c>
      <c r="B124" s="91" t="inlineStr">
        <is>
          <t>T13</t>
        </is>
      </c>
      <c r="C124" s="91" t="inlineStr">
        <is>
          <t>$W$8</t>
        </is>
      </c>
      <c r="D124" s="91" t="inlineStr">
        <is>
          <t>-&gt; named anchors</t>
        </is>
      </c>
      <c r="E124" s="91" t="inlineStr">
        <is>
          <t>formula reference drift</t>
        </is>
      </c>
    </row>
    <row r="125">
      <c r="A125" s="91" t="inlineStr">
        <is>
          <t>P3</t>
        </is>
      </c>
      <c r="B125" s="91" t="inlineStr">
        <is>
          <t>K14</t>
        </is>
      </c>
      <c r="C125" s="91" t="inlineStr">
        <is>
          <t>$W$8</t>
        </is>
      </c>
      <c r="D125" s="91" t="inlineStr">
        <is>
          <t>-&gt; named anchors</t>
        </is>
      </c>
      <c r="E125" s="91" t="inlineStr">
        <is>
          <t>formula reference drift</t>
        </is>
      </c>
    </row>
    <row r="126">
      <c r="A126" s="91" t="inlineStr">
        <is>
          <t>P3</t>
        </is>
      </c>
      <c r="B126" s="91" t="inlineStr">
        <is>
          <t>L14</t>
        </is>
      </c>
      <c r="C126" s="91" t="inlineStr">
        <is>
          <t>$Y$11</t>
        </is>
      </c>
      <c r="D126" s="91" t="inlineStr">
        <is>
          <t>-&gt; named anchors</t>
        </is>
      </c>
      <c r="E126" s="91" t="inlineStr">
        <is>
          <t>formula reference drift</t>
        </is>
      </c>
    </row>
    <row r="127">
      <c r="A127" s="91" t="inlineStr">
        <is>
          <t>P3</t>
        </is>
      </c>
      <c r="B127" s="91" t="inlineStr">
        <is>
          <t>N14</t>
        </is>
      </c>
      <c r="C127" s="91" t="inlineStr">
        <is>
          <t>/135</t>
        </is>
      </c>
      <c r="D127" s="91" t="inlineStr">
        <is>
          <t>-&gt; named anchors</t>
        </is>
      </c>
      <c r="E127" s="91" t="inlineStr">
        <is>
          <t>formula reference drift</t>
        </is>
      </c>
    </row>
    <row r="128">
      <c r="A128" s="91" t="inlineStr">
        <is>
          <t>P3</t>
        </is>
      </c>
      <c r="B128" s="91" t="inlineStr">
        <is>
          <t>O14</t>
        </is>
      </c>
      <c r="C128" s="91" t="inlineStr">
        <is>
          <t>$Y$12</t>
        </is>
      </c>
      <c r="D128" s="91" t="inlineStr">
        <is>
          <t>-&gt; named anchors</t>
        </is>
      </c>
      <c r="E128" s="91" t="inlineStr">
        <is>
          <t>formula reference drift</t>
        </is>
      </c>
    </row>
    <row r="129">
      <c r="A129" s="91" t="inlineStr">
        <is>
          <t>P3</t>
        </is>
      </c>
      <c r="B129" s="91" t="inlineStr">
        <is>
          <t>P14</t>
        </is>
      </c>
      <c r="C129" s="91" t="inlineStr">
        <is>
          <t>$W$8</t>
        </is>
      </c>
      <c r="D129" s="91" t="inlineStr">
        <is>
          <t>-&gt; named anchors</t>
        </is>
      </c>
      <c r="E129" s="91" t="inlineStr">
        <is>
          <t>formula reference drift</t>
        </is>
      </c>
    </row>
    <row r="130">
      <c r="A130" s="91" t="inlineStr">
        <is>
          <t>P3</t>
        </is>
      </c>
      <c r="B130" s="91" t="inlineStr">
        <is>
          <t>Q14</t>
        </is>
      </c>
      <c r="C130" s="91" t="inlineStr">
        <is>
          <t>$Y$13</t>
        </is>
      </c>
      <c r="D130" s="91" t="inlineStr">
        <is>
          <t>-&gt; named anchors</t>
        </is>
      </c>
      <c r="E130" s="91" t="inlineStr">
        <is>
          <t>formula reference drift</t>
        </is>
      </c>
    </row>
    <row r="131">
      <c r="A131" s="91" t="inlineStr">
        <is>
          <t>P3</t>
        </is>
      </c>
      <c r="B131" s="91" t="inlineStr">
        <is>
          <t>R14</t>
        </is>
      </c>
      <c r="C131" s="91" t="inlineStr">
        <is>
          <t>$W$8</t>
        </is>
      </c>
      <c r="D131" s="91" t="inlineStr">
        <is>
          <t>-&gt; named anchors</t>
        </is>
      </c>
      <c r="E131" s="91" t="inlineStr">
        <is>
          <t>formula reference drift</t>
        </is>
      </c>
    </row>
    <row r="132">
      <c r="A132" s="91" t="inlineStr">
        <is>
          <t>P3</t>
        </is>
      </c>
      <c r="B132" s="91" t="inlineStr">
        <is>
          <t>S14</t>
        </is>
      </c>
      <c r="C132" s="91" t="inlineStr">
        <is>
          <t>$Y$14</t>
        </is>
      </c>
      <c r="D132" s="91" t="inlineStr">
        <is>
          <t>-&gt; named anchors</t>
        </is>
      </c>
      <c r="E132" s="91" t="inlineStr">
        <is>
          <t>formula reference drift</t>
        </is>
      </c>
    </row>
    <row r="133">
      <c r="A133" s="91" t="inlineStr">
        <is>
          <t>P3</t>
        </is>
      </c>
      <c r="B133" s="91" t="inlineStr">
        <is>
          <t>T14</t>
        </is>
      </c>
      <c r="C133" s="91" t="inlineStr">
        <is>
          <t>$W$8</t>
        </is>
      </c>
      <c r="D133" s="91" t="inlineStr">
        <is>
          <t>-&gt; named anchors</t>
        </is>
      </c>
      <c r="E133" s="91" t="inlineStr">
        <is>
          <t>formula reference drift</t>
        </is>
      </c>
    </row>
    <row r="134">
      <c r="A134" s="91" t="inlineStr">
        <is>
          <t>P3</t>
        </is>
      </c>
      <c r="B134" s="91" t="inlineStr">
        <is>
          <t>K15</t>
        </is>
      </c>
      <c r="C134" s="91" t="inlineStr">
        <is>
          <t>$W$8</t>
        </is>
      </c>
      <c r="D134" s="91" t="inlineStr">
        <is>
          <t>-&gt; named anchors</t>
        </is>
      </c>
      <c r="E134" s="91" t="inlineStr">
        <is>
          <t>formula reference drift</t>
        </is>
      </c>
    </row>
    <row r="135">
      <c r="A135" s="91" t="inlineStr">
        <is>
          <t>P3</t>
        </is>
      </c>
      <c r="B135" s="91" t="inlineStr">
        <is>
          <t>L15</t>
        </is>
      </c>
      <c r="C135" s="91" t="inlineStr">
        <is>
          <t>$Y$11</t>
        </is>
      </c>
      <c r="D135" s="91" t="inlineStr">
        <is>
          <t>-&gt; named anchors</t>
        </is>
      </c>
      <c r="E135" s="91" t="inlineStr">
        <is>
          <t>formula reference drift</t>
        </is>
      </c>
    </row>
    <row r="136">
      <c r="A136" s="91" t="inlineStr">
        <is>
          <t>P3</t>
        </is>
      </c>
      <c r="B136" s="91" t="inlineStr">
        <is>
          <t>N15</t>
        </is>
      </c>
      <c r="C136" s="91" t="inlineStr">
        <is>
          <t>/135</t>
        </is>
      </c>
      <c r="D136" s="91" t="inlineStr">
        <is>
          <t>-&gt; named anchors</t>
        </is>
      </c>
      <c r="E136" s="91" t="inlineStr">
        <is>
          <t>formula reference drift</t>
        </is>
      </c>
    </row>
    <row r="137">
      <c r="A137" s="91" t="inlineStr">
        <is>
          <t>P3</t>
        </is>
      </c>
      <c r="B137" s="91" t="inlineStr">
        <is>
          <t>O15</t>
        </is>
      </c>
      <c r="C137" s="91" t="inlineStr">
        <is>
          <t>$Y$12</t>
        </is>
      </c>
      <c r="D137" s="91" t="inlineStr">
        <is>
          <t>-&gt; named anchors</t>
        </is>
      </c>
      <c r="E137" s="91" t="inlineStr">
        <is>
          <t>formula reference drift</t>
        </is>
      </c>
    </row>
    <row r="138">
      <c r="A138" s="91" t="inlineStr">
        <is>
          <t>P3</t>
        </is>
      </c>
      <c r="B138" s="91" t="inlineStr">
        <is>
          <t>P15</t>
        </is>
      </c>
      <c r="C138" s="91" t="inlineStr">
        <is>
          <t>$W$8</t>
        </is>
      </c>
      <c r="D138" s="91" t="inlineStr">
        <is>
          <t>-&gt; named anchors</t>
        </is>
      </c>
      <c r="E138" s="91" t="inlineStr">
        <is>
          <t>formula reference drift</t>
        </is>
      </c>
    </row>
    <row r="139">
      <c r="A139" s="91" t="inlineStr">
        <is>
          <t>P3</t>
        </is>
      </c>
      <c r="B139" s="91" t="inlineStr">
        <is>
          <t>Q15</t>
        </is>
      </c>
      <c r="C139" s="91" t="inlineStr">
        <is>
          <t>$Y$13</t>
        </is>
      </c>
      <c r="D139" s="91" t="inlineStr">
        <is>
          <t>-&gt; named anchors</t>
        </is>
      </c>
      <c r="E139" s="91" t="inlineStr">
        <is>
          <t>formula reference drift</t>
        </is>
      </c>
    </row>
    <row r="140">
      <c r="A140" s="91" t="inlineStr">
        <is>
          <t>P3</t>
        </is>
      </c>
      <c r="B140" s="91" t="inlineStr">
        <is>
          <t>R15</t>
        </is>
      </c>
      <c r="C140" s="91" t="inlineStr">
        <is>
          <t>$W$8</t>
        </is>
      </c>
      <c r="D140" s="91" t="inlineStr">
        <is>
          <t>-&gt; named anchors</t>
        </is>
      </c>
      <c r="E140" s="91" t="inlineStr">
        <is>
          <t>formula reference drift</t>
        </is>
      </c>
    </row>
    <row r="141">
      <c r="A141" s="91" t="inlineStr">
        <is>
          <t>P3</t>
        </is>
      </c>
      <c r="B141" s="91" t="inlineStr">
        <is>
          <t>S15</t>
        </is>
      </c>
      <c r="C141" s="91" t="inlineStr">
        <is>
          <t>$Y$14</t>
        </is>
      </c>
      <c r="D141" s="91" t="inlineStr">
        <is>
          <t>-&gt; named anchors</t>
        </is>
      </c>
      <c r="E141" s="91" t="inlineStr">
        <is>
          <t>formula reference drift</t>
        </is>
      </c>
    </row>
    <row r="142">
      <c r="A142" s="91" t="inlineStr">
        <is>
          <t>P3</t>
        </is>
      </c>
      <c r="B142" s="91" t="inlineStr">
        <is>
          <t>T15</t>
        </is>
      </c>
      <c r="C142" s="91" t="inlineStr">
        <is>
          <t>$W$8</t>
        </is>
      </c>
      <c r="D142" s="91" t="inlineStr">
        <is>
          <t>-&gt; named anchors</t>
        </is>
      </c>
      <c r="E142" s="91" t="inlineStr">
        <is>
          <t>formula reference drift</t>
        </is>
      </c>
    </row>
    <row r="143">
      <c r="A143" s="91" t="inlineStr">
        <is>
          <t>P3</t>
        </is>
      </c>
      <c r="B143" s="91" t="inlineStr">
        <is>
          <t>K16</t>
        </is>
      </c>
      <c r="C143" s="91" t="inlineStr">
        <is>
          <t>$W$8</t>
        </is>
      </c>
      <c r="D143" s="91" t="inlineStr">
        <is>
          <t>-&gt; named anchors</t>
        </is>
      </c>
      <c r="E143" s="91" t="inlineStr">
        <is>
          <t>formula reference drift</t>
        </is>
      </c>
    </row>
    <row r="144">
      <c r="A144" s="91" t="inlineStr">
        <is>
          <t>P3</t>
        </is>
      </c>
      <c r="B144" s="91" t="inlineStr">
        <is>
          <t>L16</t>
        </is>
      </c>
      <c r="C144" s="91" t="inlineStr">
        <is>
          <t>$Y$11</t>
        </is>
      </c>
      <c r="D144" s="91" t="inlineStr">
        <is>
          <t>-&gt; named anchors</t>
        </is>
      </c>
      <c r="E144" s="91" t="inlineStr">
        <is>
          <t>formula reference drift</t>
        </is>
      </c>
    </row>
    <row r="145">
      <c r="A145" s="91" t="inlineStr">
        <is>
          <t>P3</t>
        </is>
      </c>
      <c r="B145" s="91" t="inlineStr">
        <is>
          <t>N16</t>
        </is>
      </c>
      <c r="C145" s="91" t="inlineStr">
        <is>
          <t>/135</t>
        </is>
      </c>
      <c r="D145" s="91" t="inlineStr">
        <is>
          <t>-&gt; named anchors</t>
        </is>
      </c>
      <c r="E145" s="91" t="inlineStr">
        <is>
          <t>formula reference drift</t>
        </is>
      </c>
    </row>
    <row r="146">
      <c r="A146" s="91" t="inlineStr">
        <is>
          <t>P3</t>
        </is>
      </c>
      <c r="B146" s="91" t="inlineStr">
        <is>
          <t>O16</t>
        </is>
      </c>
      <c r="C146" s="91" t="inlineStr">
        <is>
          <t>$Y$12</t>
        </is>
      </c>
      <c r="D146" s="91" t="inlineStr">
        <is>
          <t>-&gt; named anchors</t>
        </is>
      </c>
      <c r="E146" s="91" t="inlineStr">
        <is>
          <t>formula reference drift</t>
        </is>
      </c>
    </row>
    <row r="147">
      <c r="A147" s="91" t="inlineStr">
        <is>
          <t>P3</t>
        </is>
      </c>
      <c r="B147" s="91" t="inlineStr">
        <is>
          <t>P16</t>
        </is>
      </c>
      <c r="C147" s="91" t="inlineStr">
        <is>
          <t>$W$8</t>
        </is>
      </c>
      <c r="D147" s="91" t="inlineStr">
        <is>
          <t>-&gt; named anchors</t>
        </is>
      </c>
      <c r="E147" s="91" t="inlineStr">
        <is>
          <t>formula reference drift</t>
        </is>
      </c>
    </row>
    <row r="148">
      <c r="A148" s="91" t="inlineStr">
        <is>
          <t>P3</t>
        </is>
      </c>
      <c r="B148" s="91" t="inlineStr">
        <is>
          <t>Q16</t>
        </is>
      </c>
      <c r="C148" s="91" t="inlineStr">
        <is>
          <t>$Y$13</t>
        </is>
      </c>
      <c r="D148" s="91" t="inlineStr">
        <is>
          <t>-&gt; named anchors</t>
        </is>
      </c>
      <c r="E148" s="91" t="inlineStr">
        <is>
          <t>formula reference drift</t>
        </is>
      </c>
    </row>
    <row r="149">
      <c r="A149" s="91" t="inlineStr">
        <is>
          <t>P3</t>
        </is>
      </c>
      <c r="B149" s="91" t="inlineStr">
        <is>
          <t>R16</t>
        </is>
      </c>
      <c r="C149" s="91" t="inlineStr">
        <is>
          <t>$W$8</t>
        </is>
      </c>
      <c r="D149" s="91" t="inlineStr">
        <is>
          <t>-&gt; named anchors</t>
        </is>
      </c>
      <c r="E149" s="91" t="inlineStr">
        <is>
          <t>formula reference drift</t>
        </is>
      </c>
    </row>
    <row r="150">
      <c r="A150" s="91" t="inlineStr">
        <is>
          <t>P3</t>
        </is>
      </c>
      <c r="B150" s="91" t="inlineStr">
        <is>
          <t>S16</t>
        </is>
      </c>
      <c r="C150" s="91" t="inlineStr">
        <is>
          <t>$Y$14</t>
        </is>
      </c>
      <c r="D150" s="91" t="inlineStr">
        <is>
          <t>-&gt; named anchors</t>
        </is>
      </c>
      <c r="E150" s="91" t="inlineStr">
        <is>
          <t>formula reference drift</t>
        </is>
      </c>
    </row>
    <row r="151">
      <c r="A151" s="91" t="inlineStr">
        <is>
          <t>P3</t>
        </is>
      </c>
      <c r="B151" s="91" t="inlineStr">
        <is>
          <t>T16</t>
        </is>
      </c>
      <c r="C151" s="91" t="inlineStr">
        <is>
          <t>$W$8</t>
        </is>
      </c>
      <c r="D151" s="91" t="inlineStr">
        <is>
          <t>-&gt; named anchors</t>
        </is>
      </c>
      <c r="E151" s="91" t="inlineStr">
        <is>
          <t>formula reference drift</t>
        </is>
      </c>
    </row>
    <row r="152">
      <c r="A152" s="91" t="inlineStr">
        <is>
          <t>P3</t>
        </is>
      </c>
      <c r="B152" s="91" t="inlineStr">
        <is>
          <t>K17</t>
        </is>
      </c>
      <c r="C152" s="91" t="inlineStr">
        <is>
          <t>$W$8</t>
        </is>
      </c>
      <c r="D152" s="91" t="inlineStr">
        <is>
          <t>-&gt; named anchors</t>
        </is>
      </c>
      <c r="E152" s="91" t="inlineStr">
        <is>
          <t>formula reference drift</t>
        </is>
      </c>
    </row>
    <row r="153">
      <c r="A153" s="91" t="inlineStr">
        <is>
          <t>P3</t>
        </is>
      </c>
      <c r="B153" s="91" t="inlineStr">
        <is>
          <t>L17</t>
        </is>
      </c>
      <c r="C153" s="91" t="inlineStr">
        <is>
          <t>$Y$11</t>
        </is>
      </c>
      <c r="D153" s="91" t="inlineStr">
        <is>
          <t>-&gt; named anchors</t>
        </is>
      </c>
      <c r="E153" s="91" t="inlineStr">
        <is>
          <t>formula reference drift</t>
        </is>
      </c>
    </row>
    <row r="154">
      <c r="A154" s="91" t="inlineStr">
        <is>
          <t>P3</t>
        </is>
      </c>
      <c r="B154" s="91" t="inlineStr">
        <is>
          <t>N17</t>
        </is>
      </c>
      <c r="C154" s="91" t="inlineStr">
        <is>
          <t>/135</t>
        </is>
      </c>
      <c r="D154" s="91" t="inlineStr">
        <is>
          <t>-&gt; named anchors</t>
        </is>
      </c>
      <c r="E154" s="91" t="inlineStr">
        <is>
          <t>formula reference drift</t>
        </is>
      </c>
    </row>
    <row r="155">
      <c r="A155" s="91" t="inlineStr">
        <is>
          <t>P3</t>
        </is>
      </c>
      <c r="B155" s="91" t="inlineStr">
        <is>
          <t>O17</t>
        </is>
      </c>
      <c r="C155" s="91" t="inlineStr">
        <is>
          <t>$Y$12</t>
        </is>
      </c>
      <c r="D155" s="91" t="inlineStr">
        <is>
          <t>-&gt; named anchors</t>
        </is>
      </c>
      <c r="E155" s="91" t="inlineStr">
        <is>
          <t>formula reference drift</t>
        </is>
      </c>
    </row>
    <row r="156">
      <c r="A156" s="91" t="inlineStr">
        <is>
          <t>P3</t>
        </is>
      </c>
      <c r="B156" s="91" t="inlineStr">
        <is>
          <t>P17</t>
        </is>
      </c>
      <c r="C156" s="91" t="inlineStr">
        <is>
          <t>$W$8</t>
        </is>
      </c>
      <c r="D156" s="91" t="inlineStr">
        <is>
          <t>-&gt; named anchors</t>
        </is>
      </c>
      <c r="E156" s="91" t="inlineStr">
        <is>
          <t>formula reference drift</t>
        </is>
      </c>
    </row>
    <row r="157">
      <c r="A157" s="91" t="inlineStr">
        <is>
          <t>P3</t>
        </is>
      </c>
      <c r="B157" s="91" t="inlineStr">
        <is>
          <t>Q17</t>
        </is>
      </c>
      <c r="C157" s="91" t="inlineStr">
        <is>
          <t>$Y$13</t>
        </is>
      </c>
      <c r="D157" s="91" t="inlineStr">
        <is>
          <t>-&gt; named anchors</t>
        </is>
      </c>
      <c r="E157" s="91" t="inlineStr">
        <is>
          <t>formula reference drift</t>
        </is>
      </c>
    </row>
    <row r="158">
      <c r="A158" s="91" t="inlineStr">
        <is>
          <t>P3</t>
        </is>
      </c>
      <c r="B158" s="91" t="inlineStr">
        <is>
          <t>R17</t>
        </is>
      </c>
      <c r="C158" s="91" t="inlineStr">
        <is>
          <t>$W$8</t>
        </is>
      </c>
      <c r="D158" s="91" t="inlineStr">
        <is>
          <t>-&gt; named anchors</t>
        </is>
      </c>
      <c r="E158" s="91" t="inlineStr">
        <is>
          <t>formula reference drift</t>
        </is>
      </c>
    </row>
    <row r="159">
      <c r="A159" s="91" t="inlineStr">
        <is>
          <t>P3</t>
        </is>
      </c>
      <c r="B159" s="91" t="inlineStr">
        <is>
          <t>S17</t>
        </is>
      </c>
      <c r="C159" s="91" t="inlineStr">
        <is>
          <t>$Y$14</t>
        </is>
      </c>
      <c r="D159" s="91" t="inlineStr">
        <is>
          <t>-&gt; named anchors</t>
        </is>
      </c>
      <c r="E159" s="91" t="inlineStr">
        <is>
          <t>formula reference drift</t>
        </is>
      </c>
    </row>
    <row r="160">
      <c r="A160" s="91" t="inlineStr">
        <is>
          <t>P3</t>
        </is>
      </c>
      <c r="B160" s="91" t="inlineStr">
        <is>
          <t>T17</t>
        </is>
      </c>
      <c r="C160" s="91" t="inlineStr">
        <is>
          <t>$W$8</t>
        </is>
      </c>
      <c r="D160" s="91" t="inlineStr">
        <is>
          <t>-&gt; named anchors</t>
        </is>
      </c>
      <c r="E160" s="91" t="inlineStr">
        <is>
          <t>formula reference drift</t>
        </is>
      </c>
    </row>
    <row r="161">
      <c r="A161" s="91" t="inlineStr">
        <is>
          <t>P3</t>
        </is>
      </c>
      <c r="B161" s="91" t="inlineStr">
        <is>
          <t>K18</t>
        </is>
      </c>
      <c r="C161" s="91" t="inlineStr">
        <is>
          <t>$W$8</t>
        </is>
      </c>
      <c r="D161" s="91" t="inlineStr">
        <is>
          <t>-&gt; named anchors</t>
        </is>
      </c>
      <c r="E161" s="91" t="inlineStr">
        <is>
          <t>formula reference drift</t>
        </is>
      </c>
    </row>
    <row r="162">
      <c r="A162" s="91" t="inlineStr">
        <is>
          <t>P3</t>
        </is>
      </c>
      <c r="B162" s="91" t="inlineStr">
        <is>
          <t>L18</t>
        </is>
      </c>
      <c r="C162" s="91" t="inlineStr">
        <is>
          <t>$Y$11</t>
        </is>
      </c>
      <c r="D162" s="91" t="inlineStr">
        <is>
          <t>-&gt; named anchors</t>
        </is>
      </c>
      <c r="E162" s="91" t="inlineStr">
        <is>
          <t>formula reference drift</t>
        </is>
      </c>
    </row>
    <row r="163">
      <c r="A163" s="91" t="inlineStr">
        <is>
          <t>P3</t>
        </is>
      </c>
      <c r="B163" s="91" t="inlineStr">
        <is>
          <t>N18</t>
        </is>
      </c>
      <c r="C163" s="91" t="inlineStr">
        <is>
          <t>/135</t>
        </is>
      </c>
      <c r="D163" s="91" t="inlineStr">
        <is>
          <t>-&gt; named anchors</t>
        </is>
      </c>
      <c r="E163" s="91" t="inlineStr">
        <is>
          <t>formula reference drift</t>
        </is>
      </c>
    </row>
    <row r="164">
      <c r="A164" s="91" t="inlineStr">
        <is>
          <t>P3</t>
        </is>
      </c>
      <c r="B164" s="91" t="inlineStr">
        <is>
          <t>O18</t>
        </is>
      </c>
      <c r="C164" s="91" t="inlineStr">
        <is>
          <t>$Y$12</t>
        </is>
      </c>
      <c r="D164" s="91" t="inlineStr">
        <is>
          <t>-&gt; named anchors</t>
        </is>
      </c>
      <c r="E164" s="91" t="inlineStr">
        <is>
          <t>formula reference drift</t>
        </is>
      </c>
    </row>
    <row r="165">
      <c r="A165" s="91" t="inlineStr">
        <is>
          <t>P3</t>
        </is>
      </c>
      <c r="B165" s="91" t="inlineStr">
        <is>
          <t>P18</t>
        </is>
      </c>
      <c r="C165" s="91" t="inlineStr">
        <is>
          <t>$W$8</t>
        </is>
      </c>
      <c r="D165" s="91" t="inlineStr">
        <is>
          <t>-&gt; named anchors</t>
        </is>
      </c>
      <c r="E165" s="91" t="inlineStr">
        <is>
          <t>formula reference drift</t>
        </is>
      </c>
    </row>
    <row r="166">
      <c r="A166" s="91" t="inlineStr">
        <is>
          <t>P3</t>
        </is>
      </c>
      <c r="B166" s="91" t="inlineStr">
        <is>
          <t>Q18</t>
        </is>
      </c>
      <c r="C166" s="91" t="inlineStr">
        <is>
          <t>$Y$13</t>
        </is>
      </c>
      <c r="D166" s="91" t="inlineStr">
        <is>
          <t>-&gt; named anchors</t>
        </is>
      </c>
      <c r="E166" s="91" t="inlineStr">
        <is>
          <t>formula reference drift</t>
        </is>
      </c>
    </row>
    <row r="167">
      <c r="A167" s="91" t="inlineStr">
        <is>
          <t>P3</t>
        </is>
      </c>
      <c r="B167" s="91" t="inlineStr">
        <is>
          <t>R18</t>
        </is>
      </c>
      <c r="C167" s="91" t="inlineStr">
        <is>
          <t>$W$8</t>
        </is>
      </c>
      <c r="D167" s="91" t="inlineStr">
        <is>
          <t>-&gt; named anchors</t>
        </is>
      </c>
      <c r="E167" s="91" t="inlineStr">
        <is>
          <t>formula reference drift</t>
        </is>
      </c>
    </row>
    <row r="168">
      <c r="A168" s="91" t="inlineStr">
        <is>
          <t>P3</t>
        </is>
      </c>
      <c r="B168" s="91" t="inlineStr">
        <is>
          <t>S18</t>
        </is>
      </c>
      <c r="C168" s="91" t="inlineStr">
        <is>
          <t>$Y$14</t>
        </is>
      </c>
      <c r="D168" s="91" t="inlineStr">
        <is>
          <t>-&gt; named anchors</t>
        </is>
      </c>
      <c r="E168" s="91" t="inlineStr">
        <is>
          <t>formula reference drift</t>
        </is>
      </c>
    </row>
    <row r="169">
      <c r="A169" s="91" t="inlineStr">
        <is>
          <t>P3</t>
        </is>
      </c>
      <c r="B169" s="91" t="inlineStr">
        <is>
          <t>T18</t>
        </is>
      </c>
      <c r="C169" s="91" t="inlineStr">
        <is>
          <t>$W$8</t>
        </is>
      </c>
      <c r="D169" s="91" t="inlineStr">
        <is>
          <t>-&gt; named anchors</t>
        </is>
      </c>
      <c r="E169" s="91" t="inlineStr">
        <is>
          <t>formula reference drift</t>
        </is>
      </c>
    </row>
    <row r="170">
      <c r="A170" s="91" t="inlineStr">
        <is>
          <t>P3</t>
        </is>
      </c>
      <c r="B170" s="91" t="inlineStr">
        <is>
          <t>K19</t>
        </is>
      </c>
      <c r="C170" s="91" t="inlineStr">
        <is>
          <t>$W$8</t>
        </is>
      </c>
      <c r="D170" s="91" t="inlineStr">
        <is>
          <t>-&gt; named anchors</t>
        </is>
      </c>
      <c r="E170" s="91" t="inlineStr">
        <is>
          <t>formula reference drift</t>
        </is>
      </c>
    </row>
    <row r="171">
      <c r="A171" s="91" t="inlineStr">
        <is>
          <t>P3</t>
        </is>
      </c>
      <c r="B171" s="91" t="inlineStr">
        <is>
          <t>L19</t>
        </is>
      </c>
      <c r="C171" s="91" t="inlineStr">
        <is>
          <t>$Y$11</t>
        </is>
      </c>
      <c r="D171" s="91" t="inlineStr">
        <is>
          <t>-&gt; named anchors</t>
        </is>
      </c>
      <c r="E171" s="91" t="inlineStr">
        <is>
          <t>formula reference drift</t>
        </is>
      </c>
    </row>
    <row r="172">
      <c r="A172" s="91" t="inlineStr">
        <is>
          <t>P3</t>
        </is>
      </c>
      <c r="B172" s="91" t="inlineStr">
        <is>
          <t>N19</t>
        </is>
      </c>
      <c r="C172" s="91" t="inlineStr">
        <is>
          <t>/135</t>
        </is>
      </c>
      <c r="D172" s="91" t="inlineStr">
        <is>
          <t>-&gt; named anchors</t>
        </is>
      </c>
      <c r="E172" s="91" t="inlineStr">
        <is>
          <t>formula reference drift</t>
        </is>
      </c>
    </row>
    <row r="173">
      <c r="A173" s="91" t="inlineStr">
        <is>
          <t>P3</t>
        </is>
      </c>
      <c r="B173" s="91" t="inlineStr">
        <is>
          <t>O19</t>
        </is>
      </c>
      <c r="C173" s="91" t="inlineStr">
        <is>
          <t>$Y$12</t>
        </is>
      </c>
      <c r="D173" s="91" t="inlineStr">
        <is>
          <t>-&gt; named anchors</t>
        </is>
      </c>
      <c r="E173" s="91" t="inlineStr">
        <is>
          <t>formula reference drift</t>
        </is>
      </c>
    </row>
    <row r="174">
      <c r="A174" s="91" t="inlineStr">
        <is>
          <t>P3</t>
        </is>
      </c>
      <c r="B174" s="91" t="inlineStr">
        <is>
          <t>P19</t>
        </is>
      </c>
      <c r="C174" s="91" t="inlineStr">
        <is>
          <t>$W$8</t>
        </is>
      </c>
      <c r="D174" s="91" t="inlineStr">
        <is>
          <t>-&gt; named anchors</t>
        </is>
      </c>
      <c r="E174" s="91" t="inlineStr">
        <is>
          <t>formula reference drift</t>
        </is>
      </c>
    </row>
    <row r="175">
      <c r="A175" s="91" t="inlineStr">
        <is>
          <t>P3</t>
        </is>
      </c>
      <c r="B175" s="91" t="inlineStr">
        <is>
          <t>Q19</t>
        </is>
      </c>
      <c r="C175" s="91" t="inlineStr">
        <is>
          <t>$Y$13</t>
        </is>
      </c>
      <c r="D175" s="91" t="inlineStr">
        <is>
          <t>-&gt; named anchors</t>
        </is>
      </c>
      <c r="E175" s="91" t="inlineStr">
        <is>
          <t>formula reference drift</t>
        </is>
      </c>
    </row>
    <row r="176">
      <c r="A176" s="91" t="inlineStr">
        <is>
          <t>P3</t>
        </is>
      </c>
      <c r="B176" s="91" t="inlineStr">
        <is>
          <t>R19</t>
        </is>
      </c>
      <c r="C176" s="91" t="inlineStr">
        <is>
          <t>$W$8</t>
        </is>
      </c>
      <c r="D176" s="91" t="inlineStr">
        <is>
          <t>-&gt; named anchors</t>
        </is>
      </c>
      <c r="E176" s="91" t="inlineStr">
        <is>
          <t>formula reference drift</t>
        </is>
      </c>
    </row>
    <row r="177">
      <c r="A177" s="91" t="inlineStr">
        <is>
          <t>P3</t>
        </is>
      </c>
      <c r="B177" s="91" t="inlineStr">
        <is>
          <t>S19</t>
        </is>
      </c>
      <c r="C177" s="91" t="inlineStr">
        <is>
          <t>$Y$14</t>
        </is>
      </c>
      <c r="D177" s="91" t="inlineStr">
        <is>
          <t>-&gt; named anchors</t>
        </is>
      </c>
      <c r="E177" s="91" t="inlineStr">
        <is>
          <t>formula reference drift</t>
        </is>
      </c>
    </row>
    <row r="178">
      <c r="A178" s="91" t="inlineStr">
        <is>
          <t>P3</t>
        </is>
      </c>
      <c r="B178" s="91" t="inlineStr">
        <is>
          <t>T19</t>
        </is>
      </c>
      <c r="C178" s="91" t="inlineStr">
        <is>
          <t>$W$8</t>
        </is>
      </c>
      <c r="D178" s="91" t="inlineStr">
        <is>
          <t>-&gt; named anchors</t>
        </is>
      </c>
      <c r="E178" s="91" t="inlineStr">
        <is>
          <t>formula reference drift</t>
        </is>
      </c>
    </row>
    <row r="179">
      <c r="A179" s="91" t="inlineStr">
        <is>
          <t>P3</t>
        </is>
      </c>
      <c r="B179" s="91" t="inlineStr">
        <is>
          <t>K20</t>
        </is>
      </c>
      <c r="C179" s="91" t="inlineStr">
        <is>
          <t>$W$6</t>
        </is>
      </c>
      <c r="D179" s="91" t="inlineStr">
        <is>
          <t>-&gt; named anchors</t>
        </is>
      </c>
      <c r="E179" s="91" t="inlineStr">
        <is>
          <t>formula reference drift</t>
        </is>
      </c>
    </row>
    <row r="180">
      <c r="A180" s="91" t="inlineStr">
        <is>
          <t>P3</t>
        </is>
      </c>
      <c r="B180" s="91" t="inlineStr">
        <is>
          <t>L20</t>
        </is>
      </c>
      <c r="C180" s="91" t="inlineStr">
        <is>
          <t>$Y$9</t>
        </is>
      </c>
      <c r="D180" s="91" t="inlineStr">
        <is>
          <t>-&gt; named anchors</t>
        </is>
      </c>
      <c r="E180" s="91" t="inlineStr">
        <is>
          <t>formula reference drift</t>
        </is>
      </c>
    </row>
    <row r="181">
      <c r="A181" s="91" t="inlineStr">
        <is>
          <t>P3</t>
        </is>
      </c>
      <c r="B181" s="91" t="inlineStr">
        <is>
          <t>N20</t>
        </is>
      </c>
      <c r="C181" s="91" t="inlineStr">
        <is>
          <t>/135</t>
        </is>
      </c>
      <c r="D181" s="91" t="inlineStr">
        <is>
          <t>-&gt; named anchors</t>
        </is>
      </c>
      <c r="E181" s="91" t="inlineStr">
        <is>
          <t>formula reference drift</t>
        </is>
      </c>
    </row>
    <row r="182">
      <c r="A182" s="91" t="inlineStr">
        <is>
          <t>P3</t>
        </is>
      </c>
      <c r="B182" s="91" t="inlineStr">
        <is>
          <t>O20</t>
        </is>
      </c>
      <c r="C182" s="91" t="inlineStr">
        <is>
          <t>$Y$10</t>
        </is>
      </c>
      <c r="D182" s="91" t="inlineStr">
        <is>
          <t>-&gt; named anchors</t>
        </is>
      </c>
      <c r="E182" s="91" t="inlineStr">
        <is>
          <t>formula reference drift</t>
        </is>
      </c>
    </row>
    <row r="183">
      <c r="A183" s="91" t="inlineStr">
        <is>
          <t>P3</t>
        </is>
      </c>
      <c r="B183" s="91" t="inlineStr">
        <is>
          <t>P20</t>
        </is>
      </c>
      <c r="C183" s="91" t="inlineStr">
        <is>
          <t>$W$6</t>
        </is>
      </c>
      <c r="D183" s="91" t="inlineStr">
        <is>
          <t>-&gt; named anchors</t>
        </is>
      </c>
      <c r="E183" s="91" t="inlineStr">
        <is>
          <t>formula reference drift</t>
        </is>
      </c>
    </row>
    <row r="184">
      <c r="A184" s="91" t="inlineStr">
        <is>
          <t>P3</t>
        </is>
      </c>
      <c r="B184" s="91" t="inlineStr">
        <is>
          <t>Q20</t>
        </is>
      </c>
      <c r="C184" s="91" t="inlineStr">
        <is>
          <t>$Y$11</t>
        </is>
      </c>
      <c r="D184" s="91" t="inlineStr">
        <is>
          <t>-&gt; named anchors</t>
        </is>
      </c>
      <c r="E184" s="91" t="inlineStr">
        <is>
          <t>formula reference drift</t>
        </is>
      </c>
    </row>
    <row r="185">
      <c r="A185" s="91" t="inlineStr">
        <is>
          <t>P3</t>
        </is>
      </c>
      <c r="B185" s="91" t="inlineStr">
        <is>
          <t>R20</t>
        </is>
      </c>
      <c r="C185" s="91" t="inlineStr">
        <is>
          <t>$W$6</t>
        </is>
      </c>
      <c r="D185" s="91" t="inlineStr">
        <is>
          <t>-&gt; named anchors</t>
        </is>
      </c>
      <c r="E185" s="91" t="inlineStr">
        <is>
          <t>formula reference drift</t>
        </is>
      </c>
    </row>
    <row r="186">
      <c r="A186" s="91" t="inlineStr">
        <is>
          <t>P3</t>
        </is>
      </c>
      <c r="B186" s="91" t="inlineStr">
        <is>
          <t>S20</t>
        </is>
      </c>
      <c r="C186" s="91" t="inlineStr">
        <is>
          <t>$Y$12</t>
        </is>
      </c>
      <c r="D186" s="91" t="inlineStr">
        <is>
          <t>-&gt; named anchors</t>
        </is>
      </c>
      <c r="E186" s="91" t="inlineStr">
        <is>
          <t>formula reference drift</t>
        </is>
      </c>
    </row>
    <row r="187">
      <c r="A187" s="91" t="inlineStr">
        <is>
          <t>P3</t>
        </is>
      </c>
      <c r="B187" s="91" t="inlineStr">
        <is>
          <t>T20</t>
        </is>
      </c>
      <c r="C187" s="91" t="inlineStr">
        <is>
          <t>$W$6</t>
        </is>
      </c>
      <c r="D187" s="91" t="inlineStr">
        <is>
          <t>-&gt; named anchors</t>
        </is>
      </c>
      <c r="E187" s="91" t="inlineStr">
        <is>
          <t>formula reference drift</t>
        </is>
      </c>
    </row>
    <row r="188">
      <c r="A188" s="91" t="inlineStr">
        <is>
          <t>P3</t>
        </is>
      </c>
      <c r="B188" s="91" t="inlineStr">
        <is>
          <t>K21</t>
        </is>
      </c>
      <c r="C188" s="91" t="inlineStr">
        <is>
          <t>$W$8</t>
        </is>
      </c>
      <c r="D188" s="91" t="inlineStr">
        <is>
          <t>-&gt; named anchors</t>
        </is>
      </c>
      <c r="E188" s="91" t="inlineStr">
        <is>
          <t>formula reference drift</t>
        </is>
      </c>
    </row>
    <row r="189">
      <c r="A189" s="91" t="inlineStr">
        <is>
          <t>P3</t>
        </is>
      </c>
      <c r="B189" s="91" t="inlineStr">
        <is>
          <t>L21</t>
        </is>
      </c>
      <c r="C189" s="91" t="inlineStr">
        <is>
          <t>$Y$11</t>
        </is>
      </c>
      <c r="D189" s="91" t="inlineStr">
        <is>
          <t>-&gt; named anchors</t>
        </is>
      </c>
      <c r="E189" s="91" t="inlineStr">
        <is>
          <t>formula reference drift</t>
        </is>
      </c>
    </row>
    <row r="190">
      <c r="A190" s="91" t="inlineStr">
        <is>
          <t>P3</t>
        </is>
      </c>
      <c r="B190" s="91" t="inlineStr">
        <is>
          <t>N21</t>
        </is>
      </c>
      <c r="C190" s="91" t="inlineStr">
        <is>
          <t>/135</t>
        </is>
      </c>
      <c r="D190" s="91" t="inlineStr">
        <is>
          <t>-&gt; named anchors</t>
        </is>
      </c>
      <c r="E190" s="91" t="inlineStr">
        <is>
          <t>formula reference drift</t>
        </is>
      </c>
    </row>
    <row r="191">
      <c r="A191" s="91" t="inlineStr">
        <is>
          <t>P3</t>
        </is>
      </c>
      <c r="B191" s="91" t="inlineStr">
        <is>
          <t>O21</t>
        </is>
      </c>
      <c r="C191" s="91" t="inlineStr">
        <is>
          <t>$Y$12</t>
        </is>
      </c>
      <c r="D191" s="91" t="inlineStr">
        <is>
          <t>-&gt; named anchors</t>
        </is>
      </c>
      <c r="E191" s="91" t="inlineStr">
        <is>
          <t>formula reference drift</t>
        </is>
      </c>
    </row>
    <row r="192">
      <c r="A192" s="91" t="inlineStr">
        <is>
          <t>P3</t>
        </is>
      </c>
      <c r="B192" s="91" t="inlineStr">
        <is>
          <t>P21</t>
        </is>
      </c>
      <c r="C192" s="91" t="inlineStr">
        <is>
          <t>$W$8</t>
        </is>
      </c>
      <c r="D192" s="91" t="inlineStr">
        <is>
          <t>-&gt; named anchors</t>
        </is>
      </c>
      <c r="E192" s="91" t="inlineStr">
        <is>
          <t>formula reference drift</t>
        </is>
      </c>
    </row>
    <row r="193">
      <c r="A193" s="91" t="inlineStr">
        <is>
          <t>P3</t>
        </is>
      </c>
      <c r="B193" s="91" t="inlineStr">
        <is>
          <t>Q21</t>
        </is>
      </c>
      <c r="C193" s="91" t="inlineStr">
        <is>
          <t>$Y$13</t>
        </is>
      </c>
      <c r="D193" s="91" t="inlineStr">
        <is>
          <t>-&gt; named anchors</t>
        </is>
      </c>
      <c r="E193" s="91" t="inlineStr">
        <is>
          <t>formula reference drift</t>
        </is>
      </c>
    </row>
    <row r="194">
      <c r="A194" s="91" t="inlineStr">
        <is>
          <t>P3</t>
        </is>
      </c>
      <c r="B194" s="91" t="inlineStr">
        <is>
          <t>R21</t>
        </is>
      </c>
      <c r="C194" s="91" t="inlineStr">
        <is>
          <t>$W$8</t>
        </is>
      </c>
      <c r="D194" s="91" t="inlineStr">
        <is>
          <t>-&gt; named anchors</t>
        </is>
      </c>
      <c r="E194" s="91" t="inlineStr">
        <is>
          <t>formula reference drift</t>
        </is>
      </c>
    </row>
    <row r="195">
      <c r="A195" s="91" t="inlineStr">
        <is>
          <t>P3</t>
        </is>
      </c>
      <c r="B195" s="91" t="inlineStr">
        <is>
          <t>S21</t>
        </is>
      </c>
      <c r="C195" s="91" t="inlineStr">
        <is>
          <t>$Y$14</t>
        </is>
      </c>
      <c r="D195" s="91" t="inlineStr">
        <is>
          <t>-&gt; named anchors</t>
        </is>
      </c>
      <c r="E195" s="91" t="inlineStr">
        <is>
          <t>formula reference drift</t>
        </is>
      </c>
    </row>
    <row r="196">
      <c r="A196" s="91" t="inlineStr">
        <is>
          <t>P3</t>
        </is>
      </c>
      <c r="B196" s="91" t="inlineStr">
        <is>
          <t>T21</t>
        </is>
      </c>
      <c r="C196" s="91" t="inlineStr">
        <is>
          <t>$W$8</t>
        </is>
      </c>
      <c r="D196" s="91" t="inlineStr">
        <is>
          <t>-&gt; named anchors</t>
        </is>
      </c>
      <c r="E196" s="91" t="inlineStr">
        <is>
          <t>formula reference drift</t>
        </is>
      </c>
    </row>
    <row r="197">
      <c r="A197" s="91" t="inlineStr">
        <is>
          <t>P3</t>
        </is>
      </c>
      <c r="B197" s="91" t="inlineStr">
        <is>
          <t>K22</t>
        </is>
      </c>
      <c r="C197" s="91" t="inlineStr">
        <is>
          <t>$W$8</t>
        </is>
      </c>
      <c r="D197" s="91" t="inlineStr">
        <is>
          <t>-&gt; named anchors</t>
        </is>
      </c>
      <c r="E197" s="91" t="inlineStr">
        <is>
          <t>formula reference drift</t>
        </is>
      </c>
    </row>
    <row r="198">
      <c r="A198" s="91" t="inlineStr">
        <is>
          <t>P3</t>
        </is>
      </c>
      <c r="B198" s="91" t="inlineStr">
        <is>
          <t>L22</t>
        </is>
      </c>
      <c r="C198" s="91" t="inlineStr">
        <is>
          <t>$Y$11</t>
        </is>
      </c>
      <c r="D198" s="91" t="inlineStr">
        <is>
          <t>-&gt; named anchors</t>
        </is>
      </c>
      <c r="E198" s="91" t="inlineStr">
        <is>
          <t>formula reference drift</t>
        </is>
      </c>
    </row>
    <row r="199">
      <c r="A199" s="91" t="inlineStr">
        <is>
          <t>P3</t>
        </is>
      </c>
      <c r="B199" s="91" t="inlineStr">
        <is>
          <t>N22</t>
        </is>
      </c>
      <c r="C199" s="91" t="inlineStr">
        <is>
          <t>/135</t>
        </is>
      </c>
      <c r="D199" s="91" t="inlineStr">
        <is>
          <t>-&gt; named anchors</t>
        </is>
      </c>
      <c r="E199" s="91" t="inlineStr">
        <is>
          <t>formula reference drift</t>
        </is>
      </c>
    </row>
    <row r="200">
      <c r="A200" s="91" t="inlineStr">
        <is>
          <t>P3</t>
        </is>
      </c>
      <c r="B200" s="91" t="inlineStr">
        <is>
          <t>O22</t>
        </is>
      </c>
      <c r="C200" s="91" t="inlineStr">
        <is>
          <t>$Y$12</t>
        </is>
      </c>
      <c r="D200" s="91" t="inlineStr">
        <is>
          <t>-&gt; named anchors</t>
        </is>
      </c>
      <c r="E200" s="91" t="inlineStr">
        <is>
          <t>formula reference drift</t>
        </is>
      </c>
    </row>
    <row r="201">
      <c r="A201" s="91" t="inlineStr">
        <is>
          <t>P3</t>
        </is>
      </c>
      <c r="B201" s="91" t="inlineStr">
        <is>
          <t>P22</t>
        </is>
      </c>
      <c r="C201" s="91" t="inlineStr">
        <is>
          <t>$W$8</t>
        </is>
      </c>
      <c r="D201" s="91" t="inlineStr">
        <is>
          <t>-&gt; named anchors</t>
        </is>
      </c>
      <c r="E201" s="91" t="inlineStr">
        <is>
          <t>formula reference drift</t>
        </is>
      </c>
    </row>
    <row r="202">
      <c r="A202" s="91" t="inlineStr">
        <is>
          <t>P3</t>
        </is>
      </c>
      <c r="B202" s="91" t="inlineStr">
        <is>
          <t>Q22</t>
        </is>
      </c>
      <c r="C202" s="91" t="inlineStr">
        <is>
          <t>$Y$13</t>
        </is>
      </c>
      <c r="D202" s="91" t="inlineStr">
        <is>
          <t>-&gt; named anchors</t>
        </is>
      </c>
      <c r="E202" s="91" t="inlineStr">
        <is>
          <t>formula reference drift</t>
        </is>
      </c>
    </row>
    <row r="203">
      <c r="A203" s="91" t="inlineStr">
        <is>
          <t>P3</t>
        </is>
      </c>
      <c r="B203" s="91" t="inlineStr">
        <is>
          <t>R22</t>
        </is>
      </c>
      <c r="C203" s="91" t="inlineStr">
        <is>
          <t>$W$8</t>
        </is>
      </c>
      <c r="D203" s="91" t="inlineStr">
        <is>
          <t>-&gt; named anchors</t>
        </is>
      </c>
      <c r="E203" s="91" t="inlineStr">
        <is>
          <t>formula reference drift</t>
        </is>
      </c>
    </row>
    <row r="204">
      <c r="A204" s="91" t="inlineStr">
        <is>
          <t>P3</t>
        </is>
      </c>
      <c r="B204" s="91" t="inlineStr">
        <is>
          <t>S22</t>
        </is>
      </c>
      <c r="C204" s="91" t="inlineStr">
        <is>
          <t>$Y$14</t>
        </is>
      </c>
      <c r="D204" s="91" t="inlineStr">
        <is>
          <t>-&gt; named anchors</t>
        </is>
      </c>
      <c r="E204" s="91" t="inlineStr">
        <is>
          <t>formula reference drift</t>
        </is>
      </c>
    </row>
    <row r="205">
      <c r="A205" s="91" t="inlineStr">
        <is>
          <t>P3</t>
        </is>
      </c>
      <c r="B205" s="91" t="inlineStr">
        <is>
          <t>T22</t>
        </is>
      </c>
      <c r="C205" s="91" t="inlineStr">
        <is>
          <t>$W$8</t>
        </is>
      </c>
      <c r="D205" s="91" t="inlineStr">
        <is>
          <t>-&gt; named anchors</t>
        </is>
      </c>
      <c r="E205" s="91" t="inlineStr">
        <is>
          <t>formula reference drift</t>
        </is>
      </c>
    </row>
    <row r="206">
      <c r="A206" s="91" t="inlineStr">
        <is>
          <t>P3</t>
        </is>
      </c>
      <c r="B206" s="91" t="inlineStr">
        <is>
          <t>K23</t>
        </is>
      </c>
      <c r="C206" s="91" t="inlineStr">
        <is>
          <t>$W$8</t>
        </is>
      </c>
      <c r="D206" s="91" t="inlineStr">
        <is>
          <t>-&gt; named anchors</t>
        </is>
      </c>
      <c r="E206" s="91" t="inlineStr">
        <is>
          <t>formula reference drift</t>
        </is>
      </c>
    </row>
    <row r="207">
      <c r="A207" s="91" t="inlineStr">
        <is>
          <t>P3</t>
        </is>
      </c>
      <c r="B207" s="91" t="inlineStr">
        <is>
          <t>L23</t>
        </is>
      </c>
      <c r="C207" s="91" t="inlineStr">
        <is>
          <t>$Y$11</t>
        </is>
      </c>
      <c r="D207" s="91" t="inlineStr">
        <is>
          <t>-&gt; named anchors</t>
        </is>
      </c>
      <c r="E207" s="91" t="inlineStr">
        <is>
          <t>formula reference drift</t>
        </is>
      </c>
    </row>
    <row r="208">
      <c r="A208" s="91" t="inlineStr">
        <is>
          <t>P3</t>
        </is>
      </c>
      <c r="B208" s="91" t="inlineStr">
        <is>
          <t>N23</t>
        </is>
      </c>
      <c r="C208" s="91" t="inlineStr">
        <is>
          <t>/135</t>
        </is>
      </c>
      <c r="D208" s="91" t="inlineStr">
        <is>
          <t>-&gt; named anchors</t>
        </is>
      </c>
      <c r="E208" s="91" t="inlineStr">
        <is>
          <t>formula reference drift</t>
        </is>
      </c>
    </row>
    <row r="209">
      <c r="A209" s="91" t="inlineStr">
        <is>
          <t>P3</t>
        </is>
      </c>
      <c r="B209" s="91" t="inlineStr">
        <is>
          <t>O23</t>
        </is>
      </c>
      <c r="C209" s="91" t="inlineStr">
        <is>
          <t>$Y$12</t>
        </is>
      </c>
      <c r="D209" s="91" t="inlineStr">
        <is>
          <t>-&gt; named anchors</t>
        </is>
      </c>
      <c r="E209" s="91" t="inlineStr">
        <is>
          <t>formula reference drift</t>
        </is>
      </c>
    </row>
    <row r="210">
      <c r="A210" s="91" t="inlineStr">
        <is>
          <t>P3</t>
        </is>
      </c>
      <c r="B210" s="91" t="inlineStr">
        <is>
          <t>P23</t>
        </is>
      </c>
      <c r="C210" s="91" t="inlineStr">
        <is>
          <t>$W$8</t>
        </is>
      </c>
      <c r="D210" s="91" t="inlineStr">
        <is>
          <t>-&gt; named anchors</t>
        </is>
      </c>
      <c r="E210" s="91" t="inlineStr">
        <is>
          <t>formula reference drift</t>
        </is>
      </c>
    </row>
    <row r="211">
      <c r="A211" s="91" t="inlineStr">
        <is>
          <t>P3</t>
        </is>
      </c>
      <c r="B211" s="91" t="inlineStr">
        <is>
          <t>Q23</t>
        </is>
      </c>
      <c r="C211" s="91" t="inlineStr">
        <is>
          <t>$Y$13</t>
        </is>
      </c>
      <c r="D211" s="91" t="inlineStr">
        <is>
          <t>-&gt; named anchors</t>
        </is>
      </c>
      <c r="E211" s="91" t="inlineStr">
        <is>
          <t>formula reference drift</t>
        </is>
      </c>
    </row>
    <row r="212">
      <c r="A212" s="91" t="inlineStr">
        <is>
          <t>P3</t>
        </is>
      </c>
      <c r="B212" s="91" t="inlineStr">
        <is>
          <t>R23</t>
        </is>
      </c>
      <c r="C212" s="91" t="inlineStr">
        <is>
          <t>$W$8</t>
        </is>
      </c>
      <c r="D212" s="91" t="inlineStr">
        <is>
          <t>-&gt; named anchors</t>
        </is>
      </c>
      <c r="E212" s="91" t="inlineStr">
        <is>
          <t>formula reference drift</t>
        </is>
      </c>
    </row>
    <row r="213">
      <c r="A213" s="91" t="inlineStr">
        <is>
          <t>P3</t>
        </is>
      </c>
      <c r="B213" s="91" t="inlineStr">
        <is>
          <t>S23</t>
        </is>
      </c>
      <c r="C213" s="91" t="inlineStr">
        <is>
          <t>$Y$14</t>
        </is>
      </c>
      <c r="D213" s="91" t="inlineStr">
        <is>
          <t>-&gt; named anchors</t>
        </is>
      </c>
      <c r="E213" s="91" t="inlineStr">
        <is>
          <t>formula reference drift</t>
        </is>
      </c>
    </row>
    <row r="214">
      <c r="A214" s="91" t="inlineStr">
        <is>
          <t>P3</t>
        </is>
      </c>
      <c r="B214" s="91" t="inlineStr">
        <is>
          <t>T23</t>
        </is>
      </c>
      <c r="C214" s="91" t="inlineStr">
        <is>
          <t>$W$8</t>
        </is>
      </c>
      <c r="D214" s="91" t="inlineStr">
        <is>
          <t>-&gt; named anchors</t>
        </is>
      </c>
      <c r="E214" s="91" t="inlineStr">
        <is>
          <t>formula reference drift</t>
        </is>
      </c>
    </row>
    <row r="215">
      <c r="A215" s="91" t="inlineStr">
        <is>
          <t>P3</t>
        </is>
      </c>
      <c r="B215" s="91" t="inlineStr">
        <is>
          <t>K24</t>
        </is>
      </c>
      <c r="C215" s="91" t="inlineStr">
        <is>
          <t>$W$8</t>
        </is>
      </c>
      <c r="D215" s="91" t="inlineStr">
        <is>
          <t>-&gt; named anchors</t>
        </is>
      </c>
      <c r="E215" s="91" t="inlineStr">
        <is>
          <t>formula reference drift</t>
        </is>
      </c>
    </row>
    <row r="216">
      <c r="A216" s="91" t="inlineStr">
        <is>
          <t>P3</t>
        </is>
      </c>
      <c r="B216" s="91" t="inlineStr">
        <is>
          <t>L24</t>
        </is>
      </c>
      <c r="C216" s="91" t="inlineStr">
        <is>
          <t>$Y$11</t>
        </is>
      </c>
      <c r="D216" s="91" t="inlineStr">
        <is>
          <t>-&gt; named anchors</t>
        </is>
      </c>
      <c r="E216" s="91" t="inlineStr">
        <is>
          <t>formula reference drift</t>
        </is>
      </c>
    </row>
    <row r="217">
      <c r="A217" s="91" t="inlineStr">
        <is>
          <t>P3</t>
        </is>
      </c>
      <c r="B217" s="91" t="inlineStr">
        <is>
          <t>N24</t>
        </is>
      </c>
      <c r="C217" s="91" t="inlineStr">
        <is>
          <t>/135</t>
        </is>
      </c>
      <c r="D217" s="91" t="inlineStr">
        <is>
          <t>-&gt; named anchors</t>
        </is>
      </c>
      <c r="E217" s="91" t="inlineStr">
        <is>
          <t>formula reference drift</t>
        </is>
      </c>
    </row>
    <row r="218">
      <c r="A218" s="91" t="inlineStr">
        <is>
          <t>P3</t>
        </is>
      </c>
      <c r="B218" s="91" t="inlineStr">
        <is>
          <t>O24</t>
        </is>
      </c>
      <c r="C218" s="91" t="inlineStr">
        <is>
          <t>$Y$12</t>
        </is>
      </c>
      <c r="D218" s="91" t="inlineStr">
        <is>
          <t>-&gt; named anchors</t>
        </is>
      </c>
      <c r="E218" s="91" t="inlineStr">
        <is>
          <t>formula reference drift</t>
        </is>
      </c>
    </row>
    <row r="219">
      <c r="A219" s="91" t="inlineStr">
        <is>
          <t>P3</t>
        </is>
      </c>
      <c r="B219" s="91" t="inlineStr">
        <is>
          <t>P24</t>
        </is>
      </c>
      <c r="C219" s="91" t="inlineStr">
        <is>
          <t>$W$8</t>
        </is>
      </c>
      <c r="D219" s="91" t="inlineStr">
        <is>
          <t>-&gt; named anchors</t>
        </is>
      </c>
      <c r="E219" s="91" t="inlineStr">
        <is>
          <t>formula reference drift</t>
        </is>
      </c>
    </row>
    <row r="220">
      <c r="A220" s="91" t="inlineStr">
        <is>
          <t>P3</t>
        </is>
      </c>
      <c r="B220" s="91" t="inlineStr">
        <is>
          <t>Q24</t>
        </is>
      </c>
      <c r="C220" s="91" t="inlineStr">
        <is>
          <t>$Y$13</t>
        </is>
      </c>
      <c r="D220" s="91" t="inlineStr">
        <is>
          <t>-&gt; named anchors</t>
        </is>
      </c>
      <c r="E220" s="91" t="inlineStr">
        <is>
          <t>formula reference drift</t>
        </is>
      </c>
    </row>
    <row r="221">
      <c r="A221" s="91" t="inlineStr">
        <is>
          <t>P3</t>
        </is>
      </c>
      <c r="B221" s="91" t="inlineStr">
        <is>
          <t>R24</t>
        </is>
      </c>
      <c r="C221" s="91" t="inlineStr">
        <is>
          <t>$W$8</t>
        </is>
      </c>
      <c r="D221" s="91" t="inlineStr">
        <is>
          <t>-&gt; named anchors</t>
        </is>
      </c>
      <c r="E221" s="91" t="inlineStr">
        <is>
          <t>formula reference drift</t>
        </is>
      </c>
    </row>
    <row r="222">
      <c r="A222" s="91" t="inlineStr">
        <is>
          <t>P3</t>
        </is>
      </c>
      <c r="B222" s="91" t="inlineStr">
        <is>
          <t>S24</t>
        </is>
      </c>
      <c r="C222" s="91" t="inlineStr">
        <is>
          <t>$Y$14</t>
        </is>
      </c>
      <c r="D222" s="91" t="inlineStr">
        <is>
          <t>-&gt; named anchors</t>
        </is>
      </c>
      <c r="E222" s="91" t="inlineStr">
        <is>
          <t>formula reference drift</t>
        </is>
      </c>
    </row>
    <row r="223">
      <c r="A223" s="91" t="inlineStr">
        <is>
          <t>P3</t>
        </is>
      </c>
      <c r="B223" s="91" t="inlineStr">
        <is>
          <t>T24</t>
        </is>
      </c>
      <c r="C223" s="91" t="inlineStr">
        <is>
          <t>$W$8</t>
        </is>
      </c>
      <c r="D223" s="91" t="inlineStr">
        <is>
          <t>-&gt; named anchors</t>
        </is>
      </c>
      <c r="E223" s="91" t="inlineStr">
        <is>
          <t>formula reference drift</t>
        </is>
      </c>
    </row>
    <row r="224">
      <c r="A224" s="91" t="inlineStr">
        <is>
          <t>P3</t>
        </is>
      </c>
      <c r="B224" s="91" t="inlineStr">
        <is>
          <t>K25</t>
        </is>
      </c>
      <c r="C224" s="91" t="inlineStr">
        <is>
          <t>$W$8</t>
        </is>
      </c>
      <c r="D224" s="91" t="inlineStr">
        <is>
          <t>-&gt; named anchors</t>
        </is>
      </c>
      <c r="E224" s="91" t="inlineStr">
        <is>
          <t>formula reference drift</t>
        </is>
      </c>
    </row>
    <row r="225">
      <c r="A225" s="91" t="inlineStr">
        <is>
          <t>P3</t>
        </is>
      </c>
      <c r="B225" s="91" t="inlineStr">
        <is>
          <t>L25</t>
        </is>
      </c>
      <c r="C225" s="91" t="inlineStr">
        <is>
          <t>$Y$11</t>
        </is>
      </c>
      <c r="D225" s="91" t="inlineStr">
        <is>
          <t>-&gt; named anchors</t>
        </is>
      </c>
      <c r="E225" s="91" t="inlineStr">
        <is>
          <t>formula reference drift</t>
        </is>
      </c>
    </row>
    <row r="226">
      <c r="A226" s="91" t="inlineStr">
        <is>
          <t>P3</t>
        </is>
      </c>
      <c r="B226" s="91" t="inlineStr">
        <is>
          <t>N25</t>
        </is>
      </c>
      <c r="C226" s="91" t="inlineStr">
        <is>
          <t>/135</t>
        </is>
      </c>
      <c r="D226" s="91" t="inlineStr">
        <is>
          <t>-&gt; named anchors</t>
        </is>
      </c>
      <c r="E226" s="91" t="inlineStr">
        <is>
          <t>formula reference drift</t>
        </is>
      </c>
    </row>
    <row r="227">
      <c r="A227" s="91" t="inlineStr">
        <is>
          <t>P3</t>
        </is>
      </c>
      <c r="B227" s="91" t="inlineStr">
        <is>
          <t>O25</t>
        </is>
      </c>
      <c r="C227" s="91" t="inlineStr">
        <is>
          <t>$Y$12</t>
        </is>
      </c>
      <c r="D227" s="91" t="inlineStr">
        <is>
          <t>-&gt; named anchors</t>
        </is>
      </c>
      <c r="E227" s="91" t="inlineStr">
        <is>
          <t>formula reference drift</t>
        </is>
      </c>
    </row>
    <row r="228">
      <c r="A228" s="91" t="inlineStr">
        <is>
          <t>P3</t>
        </is>
      </c>
      <c r="B228" s="91" t="inlineStr">
        <is>
          <t>P25</t>
        </is>
      </c>
      <c r="C228" s="91" t="inlineStr">
        <is>
          <t>$W$8</t>
        </is>
      </c>
      <c r="D228" s="91" t="inlineStr">
        <is>
          <t>-&gt; named anchors</t>
        </is>
      </c>
      <c r="E228" s="91" t="inlineStr">
        <is>
          <t>formula reference drift</t>
        </is>
      </c>
    </row>
    <row r="229">
      <c r="A229" s="91" t="inlineStr">
        <is>
          <t>P3</t>
        </is>
      </c>
      <c r="B229" s="91" t="inlineStr">
        <is>
          <t>Q25</t>
        </is>
      </c>
      <c r="C229" s="91" t="inlineStr">
        <is>
          <t>$Y$13</t>
        </is>
      </c>
      <c r="D229" s="91" t="inlineStr">
        <is>
          <t>-&gt; named anchors</t>
        </is>
      </c>
      <c r="E229" s="91" t="inlineStr">
        <is>
          <t>formula reference drift</t>
        </is>
      </c>
    </row>
    <row r="230">
      <c r="A230" s="91" t="inlineStr">
        <is>
          <t>P3</t>
        </is>
      </c>
      <c r="B230" s="91" t="inlineStr">
        <is>
          <t>R25</t>
        </is>
      </c>
      <c r="C230" s="91" t="inlineStr">
        <is>
          <t>$W$8</t>
        </is>
      </c>
      <c r="D230" s="91" t="inlineStr">
        <is>
          <t>-&gt; named anchors</t>
        </is>
      </c>
      <c r="E230" s="91" t="inlineStr">
        <is>
          <t>formula reference drift</t>
        </is>
      </c>
    </row>
    <row r="231">
      <c r="A231" s="91" t="inlineStr">
        <is>
          <t>P3</t>
        </is>
      </c>
      <c r="B231" s="91" t="inlineStr">
        <is>
          <t>S25</t>
        </is>
      </c>
      <c r="C231" s="91" t="inlineStr">
        <is>
          <t>$Y$14</t>
        </is>
      </c>
      <c r="D231" s="91" t="inlineStr">
        <is>
          <t>-&gt; named anchors</t>
        </is>
      </c>
      <c r="E231" s="91" t="inlineStr">
        <is>
          <t>formula reference drift</t>
        </is>
      </c>
    </row>
    <row r="232">
      <c r="A232" s="91" t="inlineStr">
        <is>
          <t>P3</t>
        </is>
      </c>
      <c r="B232" s="91" t="inlineStr">
        <is>
          <t>T25</t>
        </is>
      </c>
      <c r="C232" s="91" t="inlineStr">
        <is>
          <t>$W$8</t>
        </is>
      </c>
      <c r="D232" s="91" t="inlineStr">
        <is>
          <t>-&gt; named anchors</t>
        </is>
      </c>
      <c r="E232" s="91" t="inlineStr">
        <is>
          <t>formula reference drift</t>
        </is>
      </c>
    </row>
    <row r="233">
      <c r="A233" s="91" t="inlineStr">
        <is>
          <t>P3</t>
        </is>
      </c>
      <c r="B233" s="91" t="inlineStr">
        <is>
          <t>K26</t>
        </is>
      </c>
      <c r="C233" s="91" t="inlineStr">
        <is>
          <t>$W$8</t>
        </is>
      </c>
      <c r="D233" s="91" t="inlineStr">
        <is>
          <t>-&gt; named anchors</t>
        </is>
      </c>
      <c r="E233" s="91" t="inlineStr">
        <is>
          <t>formula reference drift</t>
        </is>
      </c>
    </row>
    <row r="234">
      <c r="A234" s="91" t="inlineStr">
        <is>
          <t>P3</t>
        </is>
      </c>
      <c r="B234" s="91" t="inlineStr">
        <is>
          <t>L26</t>
        </is>
      </c>
      <c r="C234" s="91" t="inlineStr">
        <is>
          <t>$Y$11</t>
        </is>
      </c>
      <c r="D234" s="91" t="inlineStr">
        <is>
          <t>-&gt; named anchors</t>
        </is>
      </c>
      <c r="E234" s="91" t="inlineStr">
        <is>
          <t>formula reference drift</t>
        </is>
      </c>
    </row>
    <row r="235">
      <c r="A235" s="91" t="inlineStr">
        <is>
          <t>P3</t>
        </is>
      </c>
      <c r="B235" s="91" t="inlineStr">
        <is>
          <t>N26</t>
        </is>
      </c>
      <c r="C235" s="91" t="inlineStr">
        <is>
          <t>/135</t>
        </is>
      </c>
      <c r="D235" s="91" t="inlineStr">
        <is>
          <t>-&gt; named anchors</t>
        </is>
      </c>
      <c r="E235" s="91" t="inlineStr">
        <is>
          <t>formula reference drift</t>
        </is>
      </c>
    </row>
    <row r="236">
      <c r="A236" s="91" t="inlineStr">
        <is>
          <t>P3</t>
        </is>
      </c>
      <c r="B236" s="91" t="inlineStr">
        <is>
          <t>O26</t>
        </is>
      </c>
      <c r="C236" s="91" t="inlineStr">
        <is>
          <t>$Y$12</t>
        </is>
      </c>
      <c r="D236" s="91" t="inlineStr">
        <is>
          <t>-&gt; named anchors</t>
        </is>
      </c>
      <c r="E236" s="91" t="inlineStr">
        <is>
          <t>formula reference drift</t>
        </is>
      </c>
    </row>
    <row r="237">
      <c r="A237" s="91" t="inlineStr">
        <is>
          <t>P3</t>
        </is>
      </c>
      <c r="B237" s="91" t="inlineStr">
        <is>
          <t>P26</t>
        </is>
      </c>
      <c r="C237" s="91" t="inlineStr">
        <is>
          <t>$W$8</t>
        </is>
      </c>
      <c r="D237" s="91" t="inlineStr">
        <is>
          <t>-&gt; named anchors</t>
        </is>
      </c>
      <c r="E237" s="91" t="inlineStr">
        <is>
          <t>formula reference drift</t>
        </is>
      </c>
    </row>
    <row r="238">
      <c r="A238" s="91" t="inlineStr">
        <is>
          <t>P3</t>
        </is>
      </c>
      <c r="B238" s="91" t="inlineStr">
        <is>
          <t>Q26</t>
        </is>
      </c>
      <c r="C238" s="91" t="inlineStr">
        <is>
          <t>$Y$13</t>
        </is>
      </c>
      <c r="D238" s="91" t="inlineStr">
        <is>
          <t>-&gt; named anchors</t>
        </is>
      </c>
      <c r="E238" s="91" t="inlineStr">
        <is>
          <t>formula reference drift</t>
        </is>
      </c>
    </row>
    <row r="239">
      <c r="A239" s="91" t="inlineStr">
        <is>
          <t>P3</t>
        </is>
      </c>
      <c r="B239" s="91" t="inlineStr">
        <is>
          <t>R26</t>
        </is>
      </c>
      <c r="C239" s="91" t="inlineStr">
        <is>
          <t>$W$8</t>
        </is>
      </c>
      <c r="D239" s="91" t="inlineStr">
        <is>
          <t>-&gt; named anchors</t>
        </is>
      </c>
      <c r="E239" s="91" t="inlineStr">
        <is>
          <t>formula reference drift</t>
        </is>
      </c>
    </row>
    <row r="240">
      <c r="A240" s="91" t="inlineStr">
        <is>
          <t>P3</t>
        </is>
      </c>
      <c r="B240" s="91" t="inlineStr">
        <is>
          <t>S26</t>
        </is>
      </c>
      <c r="C240" s="91" t="inlineStr">
        <is>
          <t>$Y$14</t>
        </is>
      </c>
      <c r="D240" s="91" t="inlineStr">
        <is>
          <t>-&gt; named anchors</t>
        </is>
      </c>
      <c r="E240" s="91" t="inlineStr">
        <is>
          <t>formula reference drift</t>
        </is>
      </c>
    </row>
    <row r="241">
      <c r="A241" s="91" t="inlineStr">
        <is>
          <t>P3</t>
        </is>
      </c>
      <c r="B241" s="91" t="inlineStr">
        <is>
          <t>T26</t>
        </is>
      </c>
      <c r="C241" s="91" t="inlineStr">
        <is>
          <t>$W$8</t>
        </is>
      </c>
      <c r="D241" s="91" t="inlineStr">
        <is>
          <t>-&gt; named anchors</t>
        </is>
      </c>
      <c r="E241" s="91" t="inlineStr">
        <is>
          <t>formula reference drift</t>
        </is>
      </c>
    </row>
    <row r="242">
      <c r="A242" s="91" t="inlineStr">
        <is>
          <t>P3</t>
        </is>
      </c>
      <c r="B242" s="91" t="inlineStr">
        <is>
          <t>K27</t>
        </is>
      </c>
      <c r="C242" s="91" t="inlineStr">
        <is>
          <t>$W$8</t>
        </is>
      </c>
      <c r="D242" s="91" t="inlineStr">
        <is>
          <t>-&gt; named anchors</t>
        </is>
      </c>
      <c r="E242" s="91" t="inlineStr">
        <is>
          <t>formula reference drift</t>
        </is>
      </c>
    </row>
    <row r="243">
      <c r="A243" s="91" t="inlineStr">
        <is>
          <t>P3</t>
        </is>
      </c>
      <c r="B243" s="91" t="inlineStr">
        <is>
          <t>L27</t>
        </is>
      </c>
      <c r="C243" s="91" t="inlineStr">
        <is>
          <t>$Y$11</t>
        </is>
      </c>
      <c r="D243" s="91" t="inlineStr">
        <is>
          <t>-&gt; named anchors</t>
        </is>
      </c>
      <c r="E243" s="91" t="inlineStr">
        <is>
          <t>formula reference drift</t>
        </is>
      </c>
    </row>
    <row r="244">
      <c r="A244" s="91" t="inlineStr">
        <is>
          <t>P3</t>
        </is>
      </c>
      <c r="B244" s="91" t="inlineStr">
        <is>
          <t>N27</t>
        </is>
      </c>
      <c r="C244" s="91" t="inlineStr">
        <is>
          <t>/135</t>
        </is>
      </c>
      <c r="D244" s="91" t="inlineStr">
        <is>
          <t>-&gt; named anchors</t>
        </is>
      </c>
      <c r="E244" s="91" t="inlineStr">
        <is>
          <t>formula reference drift</t>
        </is>
      </c>
    </row>
    <row r="245">
      <c r="A245" s="91" t="inlineStr">
        <is>
          <t>P3</t>
        </is>
      </c>
      <c r="B245" s="91" t="inlineStr">
        <is>
          <t>O27</t>
        </is>
      </c>
      <c r="C245" s="91" t="inlineStr">
        <is>
          <t>$Y$12</t>
        </is>
      </c>
      <c r="D245" s="91" t="inlineStr">
        <is>
          <t>-&gt; named anchors</t>
        </is>
      </c>
      <c r="E245" s="91" t="inlineStr">
        <is>
          <t>formula reference drift</t>
        </is>
      </c>
    </row>
    <row r="246">
      <c r="A246" s="91" t="inlineStr">
        <is>
          <t>P3</t>
        </is>
      </c>
      <c r="B246" s="91" t="inlineStr">
        <is>
          <t>P27</t>
        </is>
      </c>
      <c r="C246" s="91" t="inlineStr">
        <is>
          <t>$W$8</t>
        </is>
      </c>
      <c r="D246" s="91" t="inlineStr">
        <is>
          <t>-&gt; named anchors</t>
        </is>
      </c>
      <c r="E246" s="91" t="inlineStr">
        <is>
          <t>formula reference drift</t>
        </is>
      </c>
    </row>
    <row r="247">
      <c r="A247" s="91" t="inlineStr">
        <is>
          <t>P3</t>
        </is>
      </c>
      <c r="B247" s="91" t="inlineStr">
        <is>
          <t>Q27</t>
        </is>
      </c>
      <c r="C247" s="91" t="inlineStr">
        <is>
          <t>$Y$13</t>
        </is>
      </c>
      <c r="D247" s="91" t="inlineStr">
        <is>
          <t>-&gt; named anchors</t>
        </is>
      </c>
      <c r="E247" s="91" t="inlineStr">
        <is>
          <t>formula reference drift</t>
        </is>
      </c>
    </row>
    <row r="248">
      <c r="A248" s="91" t="inlineStr">
        <is>
          <t>P3</t>
        </is>
      </c>
      <c r="B248" s="91" t="inlineStr">
        <is>
          <t>R27</t>
        </is>
      </c>
      <c r="C248" s="91" t="inlineStr">
        <is>
          <t>$W$8</t>
        </is>
      </c>
      <c r="D248" s="91" t="inlineStr">
        <is>
          <t>-&gt; named anchors</t>
        </is>
      </c>
      <c r="E248" s="91" t="inlineStr">
        <is>
          <t>formula reference drift</t>
        </is>
      </c>
    </row>
    <row r="249">
      <c r="A249" s="91" t="inlineStr">
        <is>
          <t>P3</t>
        </is>
      </c>
      <c r="B249" s="91" t="inlineStr">
        <is>
          <t>S27</t>
        </is>
      </c>
      <c r="C249" s="91" t="inlineStr">
        <is>
          <t>$Y$14</t>
        </is>
      </c>
      <c r="D249" s="91" t="inlineStr">
        <is>
          <t>-&gt; named anchors</t>
        </is>
      </c>
      <c r="E249" s="91" t="inlineStr">
        <is>
          <t>formula reference drift</t>
        </is>
      </c>
    </row>
    <row r="250">
      <c r="A250" s="91" t="inlineStr">
        <is>
          <t>P3</t>
        </is>
      </c>
      <c r="B250" s="91" t="inlineStr">
        <is>
          <t>T27</t>
        </is>
      </c>
      <c r="C250" s="91" t="inlineStr">
        <is>
          <t>$W$8</t>
        </is>
      </c>
      <c r="D250" s="91" t="inlineStr">
        <is>
          <t>-&gt; named anchors</t>
        </is>
      </c>
      <c r="E250" s="91" t="inlineStr">
        <is>
          <t>formula reference drift</t>
        </is>
      </c>
    </row>
    <row r="251">
      <c r="A251" s="91" t="inlineStr">
        <is>
          <t>P3</t>
        </is>
      </c>
      <c r="B251" s="91" t="inlineStr">
        <is>
          <t>K28</t>
        </is>
      </c>
      <c r="C251" s="91" t="inlineStr">
        <is>
          <t>$W$8</t>
        </is>
      </c>
      <c r="D251" s="91" t="inlineStr">
        <is>
          <t>-&gt; named anchors</t>
        </is>
      </c>
      <c r="E251" s="91" t="inlineStr">
        <is>
          <t>formula reference drift</t>
        </is>
      </c>
    </row>
    <row r="252">
      <c r="A252" s="91" t="inlineStr">
        <is>
          <t>P3</t>
        </is>
      </c>
      <c r="B252" s="91" t="inlineStr">
        <is>
          <t>L28</t>
        </is>
      </c>
      <c r="C252" s="91" t="inlineStr">
        <is>
          <t>$Y$11</t>
        </is>
      </c>
      <c r="D252" s="91" t="inlineStr">
        <is>
          <t>-&gt; named anchors</t>
        </is>
      </c>
      <c r="E252" s="91" t="inlineStr">
        <is>
          <t>formula reference drift</t>
        </is>
      </c>
    </row>
    <row r="253">
      <c r="A253" s="91" t="inlineStr">
        <is>
          <t>P3</t>
        </is>
      </c>
      <c r="B253" s="91" t="inlineStr">
        <is>
          <t>N28</t>
        </is>
      </c>
      <c r="C253" s="91" t="inlineStr">
        <is>
          <t>/135</t>
        </is>
      </c>
      <c r="D253" s="91" t="inlineStr">
        <is>
          <t>-&gt; named anchors</t>
        </is>
      </c>
      <c r="E253" s="91" t="inlineStr">
        <is>
          <t>formula reference drift</t>
        </is>
      </c>
    </row>
    <row r="254">
      <c r="A254" s="91" t="inlineStr">
        <is>
          <t>P3</t>
        </is>
      </c>
      <c r="B254" s="91" t="inlineStr">
        <is>
          <t>O28</t>
        </is>
      </c>
      <c r="C254" s="91" t="inlineStr">
        <is>
          <t>$Y$12</t>
        </is>
      </c>
      <c r="D254" s="91" t="inlineStr">
        <is>
          <t>-&gt; named anchors</t>
        </is>
      </c>
      <c r="E254" s="91" t="inlineStr">
        <is>
          <t>formula reference drift</t>
        </is>
      </c>
    </row>
    <row r="255">
      <c r="A255" s="91" t="inlineStr">
        <is>
          <t>P3</t>
        </is>
      </c>
      <c r="B255" s="91" t="inlineStr">
        <is>
          <t>P28</t>
        </is>
      </c>
      <c r="C255" s="91" t="inlineStr">
        <is>
          <t>$W$8</t>
        </is>
      </c>
      <c r="D255" s="91" t="inlineStr">
        <is>
          <t>-&gt; named anchors</t>
        </is>
      </c>
      <c r="E255" s="91" t="inlineStr">
        <is>
          <t>formula reference drift</t>
        </is>
      </c>
    </row>
    <row r="256">
      <c r="A256" s="91" t="inlineStr">
        <is>
          <t>P3</t>
        </is>
      </c>
      <c r="B256" s="91" t="inlineStr">
        <is>
          <t>Q28</t>
        </is>
      </c>
      <c r="C256" s="91" t="inlineStr">
        <is>
          <t>$Y$13</t>
        </is>
      </c>
      <c r="D256" s="91" t="inlineStr">
        <is>
          <t>-&gt; named anchors</t>
        </is>
      </c>
      <c r="E256" s="91" t="inlineStr">
        <is>
          <t>formula reference drift</t>
        </is>
      </c>
    </row>
    <row r="257">
      <c r="A257" s="91" t="inlineStr">
        <is>
          <t>P3</t>
        </is>
      </c>
      <c r="B257" s="91" t="inlineStr">
        <is>
          <t>R28</t>
        </is>
      </c>
      <c r="C257" s="91" t="inlineStr">
        <is>
          <t>$W$8</t>
        </is>
      </c>
      <c r="D257" s="91" t="inlineStr">
        <is>
          <t>-&gt; named anchors</t>
        </is>
      </c>
      <c r="E257" s="91" t="inlineStr">
        <is>
          <t>formula reference drift</t>
        </is>
      </c>
    </row>
    <row r="258">
      <c r="A258" s="91" t="inlineStr">
        <is>
          <t>P3</t>
        </is>
      </c>
      <c r="B258" s="91" t="inlineStr">
        <is>
          <t>S28</t>
        </is>
      </c>
      <c r="C258" s="91" t="inlineStr">
        <is>
          <t>$Y$14</t>
        </is>
      </c>
      <c r="D258" s="91" t="inlineStr">
        <is>
          <t>-&gt; named anchors</t>
        </is>
      </c>
      <c r="E258" s="91" t="inlineStr">
        <is>
          <t>formula reference drift</t>
        </is>
      </c>
    </row>
    <row r="259">
      <c r="A259" s="91" t="inlineStr">
        <is>
          <t>P3</t>
        </is>
      </c>
      <c r="B259" s="91" t="inlineStr">
        <is>
          <t>T28</t>
        </is>
      </c>
      <c r="C259" s="91" t="inlineStr">
        <is>
          <t>$W$8</t>
        </is>
      </c>
      <c r="D259" s="91" t="inlineStr">
        <is>
          <t>-&gt; named anchors</t>
        </is>
      </c>
      <c r="E259" s="91" t="inlineStr">
        <is>
          <t>formula reference drift</t>
        </is>
      </c>
    </row>
    <row r="260">
      <c r="A260" s="91" t="inlineStr">
        <is>
          <t>P3</t>
        </is>
      </c>
      <c r="B260" s="91" t="inlineStr">
        <is>
          <t>K29</t>
        </is>
      </c>
      <c r="C260" s="91" t="inlineStr">
        <is>
          <t>$W$8</t>
        </is>
      </c>
      <c r="D260" s="91" t="inlineStr">
        <is>
          <t>-&gt; named anchors</t>
        </is>
      </c>
      <c r="E260" s="91" t="inlineStr">
        <is>
          <t>formula reference drift</t>
        </is>
      </c>
    </row>
    <row r="261">
      <c r="A261" s="91" t="inlineStr">
        <is>
          <t>P3</t>
        </is>
      </c>
      <c r="B261" s="91" t="inlineStr">
        <is>
          <t>L29</t>
        </is>
      </c>
      <c r="C261" s="91" t="inlineStr">
        <is>
          <t>$Y$11</t>
        </is>
      </c>
      <c r="D261" s="91" t="inlineStr">
        <is>
          <t>-&gt; named anchors</t>
        </is>
      </c>
      <c r="E261" s="91" t="inlineStr">
        <is>
          <t>formula reference drift</t>
        </is>
      </c>
    </row>
    <row r="262">
      <c r="A262" s="91" t="inlineStr">
        <is>
          <t>P3</t>
        </is>
      </c>
      <c r="B262" s="91" t="inlineStr">
        <is>
          <t>N29</t>
        </is>
      </c>
      <c r="C262" s="91" t="inlineStr">
        <is>
          <t>/135</t>
        </is>
      </c>
      <c r="D262" s="91" t="inlineStr">
        <is>
          <t>-&gt; named anchors</t>
        </is>
      </c>
      <c r="E262" s="91" t="inlineStr">
        <is>
          <t>formula reference drift</t>
        </is>
      </c>
    </row>
    <row r="263">
      <c r="A263" s="91" t="inlineStr">
        <is>
          <t>P3</t>
        </is>
      </c>
      <c r="B263" s="91" t="inlineStr">
        <is>
          <t>O29</t>
        </is>
      </c>
      <c r="C263" s="91" t="inlineStr">
        <is>
          <t>$Y$12</t>
        </is>
      </c>
      <c r="D263" s="91" t="inlineStr">
        <is>
          <t>-&gt; named anchors</t>
        </is>
      </c>
      <c r="E263" s="91" t="inlineStr">
        <is>
          <t>formula reference drift</t>
        </is>
      </c>
    </row>
    <row r="264">
      <c r="A264" s="91" t="inlineStr">
        <is>
          <t>P3</t>
        </is>
      </c>
      <c r="B264" s="91" t="inlineStr">
        <is>
          <t>P29</t>
        </is>
      </c>
      <c r="C264" s="91" t="inlineStr">
        <is>
          <t>$W$8</t>
        </is>
      </c>
      <c r="D264" s="91" t="inlineStr">
        <is>
          <t>-&gt; named anchors</t>
        </is>
      </c>
      <c r="E264" s="91" t="inlineStr">
        <is>
          <t>formula reference drift</t>
        </is>
      </c>
    </row>
    <row r="265">
      <c r="A265" s="91" t="inlineStr">
        <is>
          <t>P3</t>
        </is>
      </c>
      <c r="B265" s="91" t="inlineStr">
        <is>
          <t>Q29</t>
        </is>
      </c>
      <c r="C265" s="91" t="inlineStr">
        <is>
          <t>$Y$13</t>
        </is>
      </c>
      <c r="D265" s="91" t="inlineStr">
        <is>
          <t>-&gt; named anchors</t>
        </is>
      </c>
      <c r="E265" s="91" t="inlineStr">
        <is>
          <t>formula reference drift</t>
        </is>
      </c>
    </row>
    <row r="266">
      <c r="A266" s="91" t="inlineStr">
        <is>
          <t>P3</t>
        </is>
      </c>
      <c r="B266" s="91" t="inlineStr">
        <is>
          <t>R29</t>
        </is>
      </c>
      <c r="C266" s="91" t="inlineStr">
        <is>
          <t>$W$8</t>
        </is>
      </c>
      <c r="D266" s="91" t="inlineStr">
        <is>
          <t>-&gt; named anchors</t>
        </is>
      </c>
      <c r="E266" s="91" t="inlineStr">
        <is>
          <t>formula reference drift</t>
        </is>
      </c>
    </row>
    <row r="267">
      <c r="A267" s="91" t="inlineStr">
        <is>
          <t>P3</t>
        </is>
      </c>
      <c r="B267" s="91" t="inlineStr">
        <is>
          <t>S29</t>
        </is>
      </c>
      <c r="C267" s="91" t="inlineStr">
        <is>
          <t>$Y$14</t>
        </is>
      </c>
      <c r="D267" s="91" t="inlineStr">
        <is>
          <t>-&gt; named anchors</t>
        </is>
      </c>
      <c r="E267" s="91" t="inlineStr">
        <is>
          <t>formula reference drift</t>
        </is>
      </c>
    </row>
    <row r="268">
      <c r="A268" s="91" t="inlineStr">
        <is>
          <t>P3</t>
        </is>
      </c>
      <c r="B268" s="91" t="inlineStr">
        <is>
          <t>T29</t>
        </is>
      </c>
      <c r="C268" s="91" t="inlineStr">
        <is>
          <t>$W$8</t>
        </is>
      </c>
      <c r="D268" s="91" t="inlineStr">
        <is>
          <t>-&gt; named anchors</t>
        </is>
      </c>
      <c r="E268" s="91" t="inlineStr">
        <is>
          <t>formula reference drift</t>
        </is>
      </c>
    </row>
    <row r="269">
      <c r="A269" s="91" t="inlineStr">
        <is>
          <t>P3</t>
        </is>
      </c>
      <c r="B269" s="91" t="inlineStr">
        <is>
          <t>K30</t>
        </is>
      </c>
      <c r="C269" s="91" t="inlineStr">
        <is>
          <t>$W$8</t>
        </is>
      </c>
      <c r="D269" s="91" t="inlineStr">
        <is>
          <t>-&gt; named anchors</t>
        </is>
      </c>
      <c r="E269" s="91" t="inlineStr">
        <is>
          <t>formula reference drift</t>
        </is>
      </c>
    </row>
    <row r="270">
      <c r="A270" s="91" t="inlineStr">
        <is>
          <t>P3</t>
        </is>
      </c>
      <c r="B270" s="91" t="inlineStr">
        <is>
          <t>L30</t>
        </is>
      </c>
      <c r="C270" s="91" t="inlineStr">
        <is>
          <t>$Y$11</t>
        </is>
      </c>
      <c r="D270" s="91" t="inlineStr">
        <is>
          <t>-&gt; named anchors</t>
        </is>
      </c>
      <c r="E270" s="91" t="inlineStr">
        <is>
          <t>formula reference drift</t>
        </is>
      </c>
    </row>
    <row r="271">
      <c r="A271" s="91" t="inlineStr">
        <is>
          <t>P3</t>
        </is>
      </c>
      <c r="B271" s="91" t="inlineStr">
        <is>
          <t>N30</t>
        </is>
      </c>
      <c r="C271" s="91" t="inlineStr">
        <is>
          <t>/135</t>
        </is>
      </c>
      <c r="D271" s="91" t="inlineStr">
        <is>
          <t>-&gt; named anchors</t>
        </is>
      </c>
      <c r="E271" s="91" t="inlineStr">
        <is>
          <t>formula reference drift</t>
        </is>
      </c>
    </row>
    <row r="272">
      <c r="A272" s="91" t="inlineStr">
        <is>
          <t>P3</t>
        </is>
      </c>
      <c r="B272" s="91" t="inlineStr">
        <is>
          <t>O30</t>
        </is>
      </c>
      <c r="C272" s="91" t="inlineStr">
        <is>
          <t>$Y$12</t>
        </is>
      </c>
      <c r="D272" s="91" t="inlineStr">
        <is>
          <t>-&gt; named anchors</t>
        </is>
      </c>
      <c r="E272" s="91" t="inlineStr">
        <is>
          <t>formula reference drift</t>
        </is>
      </c>
    </row>
    <row r="273">
      <c r="A273" s="91" t="inlineStr">
        <is>
          <t>P3</t>
        </is>
      </c>
      <c r="B273" s="91" t="inlineStr">
        <is>
          <t>P30</t>
        </is>
      </c>
      <c r="C273" s="91" t="inlineStr">
        <is>
          <t>$W$8</t>
        </is>
      </c>
      <c r="D273" s="91" t="inlineStr">
        <is>
          <t>-&gt; named anchors</t>
        </is>
      </c>
      <c r="E273" s="91" t="inlineStr">
        <is>
          <t>formula reference drift</t>
        </is>
      </c>
    </row>
    <row r="274">
      <c r="A274" s="91" t="inlineStr">
        <is>
          <t>P3</t>
        </is>
      </c>
      <c r="B274" s="91" t="inlineStr">
        <is>
          <t>Q30</t>
        </is>
      </c>
      <c r="C274" s="91" t="inlineStr">
        <is>
          <t>$Y$13</t>
        </is>
      </c>
      <c r="D274" s="91" t="inlineStr">
        <is>
          <t>-&gt; named anchors</t>
        </is>
      </c>
      <c r="E274" s="91" t="inlineStr">
        <is>
          <t>formula reference drift</t>
        </is>
      </c>
    </row>
    <row r="275">
      <c r="A275" s="91" t="inlineStr">
        <is>
          <t>P3</t>
        </is>
      </c>
      <c r="B275" s="91" t="inlineStr">
        <is>
          <t>R30</t>
        </is>
      </c>
      <c r="C275" s="91" t="inlineStr">
        <is>
          <t>$W$8</t>
        </is>
      </c>
      <c r="D275" s="91" t="inlineStr">
        <is>
          <t>-&gt; named anchors</t>
        </is>
      </c>
      <c r="E275" s="91" t="inlineStr">
        <is>
          <t>formula reference drift</t>
        </is>
      </c>
    </row>
    <row r="276">
      <c r="A276" s="91" t="inlineStr">
        <is>
          <t>P3</t>
        </is>
      </c>
      <c r="B276" s="91" t="inlineStr">
        <is>
          <t>S30</t>
        </is>
      </c>
      <c r="C276" s="91" t="inlineStr">
        <is>
          <t>$Y$14</t>
        </is>
      </c>
      <c r="D276" s="91" t="inlineStr">
        <is>
          <t>-&gt; named anchors</t>
        </is>
      </c>
      <c r="E276" s="91" t="inlineStr">
        <is>
          <t>formula reference drift</t>
        </is>
      </c>
    </row>
    <row r="277">
      <c r="A277" s="91" t="inlineStr">
        <is>
          <t>P3</t>
        </is>
      </c>
      <c r="B277" s="91" t="inlineStr">
        <is>
          <t>T30</t>
        </is>
      </c>
      <c r="C277" s="91" t="inlineStr">
        <is>
          <t>$W$8</t>
        </is>
      </c>
      <c r="D277" s="91" t="inlineStr">
        <is>
          <t>-&gt; named anchors</t>
        </is>
      </c>
      <c r="E277" s="91" t="inlineStr">
        <is>
          <t>formula reference drift</t>
        </is>
      </c>
    </row>
    <row r="278">
      <c r="A278" s="91" t="inlineStr">
        <is>
          <t>P3</t>
        </is>
      </c>
      <c r="B278" s="91" t="inlineStr">
        <is>
          <t>K31</t>
        </is>
      </c>
      <c r="C278" s="91" t="inlineStr">
        <is>
          <t>$W$8</t>
        </is>
      </c>
      <c r="D278" s="91" t="inlineStr">
        <is>
          <t>-&gt; named anchors</t>
        </is>
      </c>
      <c r="E278" s="91" t="inlineStr">
        <is>
          <t>formula reference drift</t>
        </is>
      </c>
    </row>
    <row r="279">
      <c r="A279" s="91" t="inlineStr">
        <is>
          <t>P3</t>
        </is>
      </c>
      <c r="B279" s="91" t="inlineStr">
        <is>
          <t>L31</t>
        </is>
      </c>
      <c r="C279" s="91" t="inlineStr">
        <is>
          <t>$Y$11</t>
        </is>
      </c>
      <c r="D279" s="91" t="inlineStr">
        <is>
          <t>-&gt; named anchors</t>
        </is>
      </c>
      <c r="E279" s="91" t="inlineStr">
        <is>
          <t>formula reference drift</t>
        </is>
      </c>
    </row>
    <row r="280">
      <c r="A280" s="91" t="inlineStr">
        <is>
          <t>P3</t>
        </is>
      </c>
      <c r="B280" s="91" t="inlineStr">
        <is>
          <t>N31</t>
        </is>
      </c>
      <c r="C280" s="91" t="inlineStr">
        <is>
          <t>/135</t>
        </is>
      </c>
      <c r="D280" s="91" t="inlineStr">
        <is>
          <t>-&gt; named anchors</t>
        </is>
      </c>
      <c r="E280" s="91" t="inlineStr">
        <is>
          <t>formula reference drift</t>
        </is>
      </c>
    </row>
    <row r="281">
      <c r="A281" s="91" t="inlineStr">
        <is>
          <t>P3</t>
        </is>
      </c>
      <c r="B281" s="91" t="inlineStr">
        <is>
          <t>O31</t>
        </is>
      </c>
      <c r="C281" s="91" t="inlineStr">
        <is>
          <t>$Y$12</t>
        </is>
      </c>
      <c r="D281" s="91" t="inlineStr">
        <is>
          <t>-&gt; named anchors</t>
        </is>
      </c>
      <c r="E281" s="91" t="inlineStr">
        <is>
          <t>formula reference drift</t>
        </is>
      </c>
    </row>
    <row r="282">
      <c r="A282" s="91" t="inlineStr">
        <is>
          <t>P3</t>
        </is>
      </c>
      <c r="B282" s="91" t="inlineStr">
        <is>
          <t>P31</t>
        </is>
      </c>
      <c r="C282" s="91" t="inlineStr">
        <is>
          <t>$W$8</t>
        </is>
      </c>
      <c r="D282" s="91" t="inlineStr">
        <is>
          <t>-&gt; named anchors</t>
        </is>
      </c>
      <c r="E282" s="91" t="inlineStr">
        <is>
          <t>formula reference drift</t>
        </is>
      </c>
    </row>
    <row r="283">
      <c r="A283" s="91" t="inlineStr">
        <is>
          <t>P3</t>
        </is>
      </c>
      <c r="B283" s="91" t="inlineStr">
        <is>
          <t>Q31</t>
        </is>
      </c>
      <c r="C283" s="91" t="inlineStr">
        <is>
          <t>$Y$13</t>
        </is>
      </c>
      <c r="D283" s="91" t="inlineStr">
        <is>
          <t>-&gt; named anchors</t>
        </is>
      </c>
      <c r="E283" s="91" t="inlineStr">
        <is>
          <t>formula reference drift</t>
        </is>
      </c>
    </row>
    <row r="284">
      <c r="A284" s="91" t="inlineStr">
        <is>
          <t>P3</t>
        </is>
      </c>
      <c r="B284" s="91" t="inlineStr">
        <is>
          <t>R31</t>
        </is>
      </c>
      <c r="C284" s="91" t="inlineStr">
        <is>
          <t>$W$8</t>
        </is>
      </c>
      <c r="D284" s="91" t="inlineStr">
        <is>
          <t>-&gt; named anchors</t>
        </is>
      </c>
      <c r="E284" s="91" t="inlineStr">
        <is>
          <t>formula reference drift</t>
        </is>
      </c>
    </row>
    <row r="285">
      <c r="A285" s="91" t="inlineStr">
        <is>
          <t>P3</t>
        </is>
      </c>
      <c r="B285" s="91" t="inlineStr">
        <is>
          <t>S31</t>
        </is>
      </c>
      <c r="C285" s="91" t="inlineStr">
        <is>
          <t>$Y$14</t>
        </is>
      </c>
      <c r="D285" s="91" t="inlineStr">
        <is>
          <t>-&gt; named anchors</t>
        </is>
      </c>
      <c r="E285" s="91" t="inlineStr">
        <is>
          <t>formula reference drift</t>
        </is>
      </c>
    </row>
    <row r="286">
      <c r="A286" s="91" t="inlineStr">
        <is>
          <t>P3</t>
        </is>
      </c>
      <c r="B286" s="91" t="inlineStr">
        <is>
          <t>T31</t>
        </is>
      </c>
      <c r="C286" s="91" t="inlineStr">
        <is>
          <t>$W$8</t>
        </is>
      </c>
      <c r="D286" s="91" t="inlineStr">
        <is>
          <t>-&gt; named anchors</t>
        </is>
      </c>
      <c r="E286" s="91" t="inlineStr">
        <is>
          <t>formula reference drift</t>
        </is>
      </c>
    </row>
    <row r="287">
      <c r="A287" s="91" t="inlineStr">
        <is>
          <t>P3</t>
        </is>
      </c>
      <c r="B287" s="91" t="inlineStr">
        <is>
          <t>K32</t>
        </is>
      </c>
      <c r="C287" s="91" t="inlineStr">
        <is>
          <t>$W$6</t>
        </is>
      </c>
      <c r="D287" s="91" t="inlineStr">
        <is>
          <t>-&gt; named anchors</t>
        </is>
      </c>
      <c r="E287" s="91" t="inlineStr">
        <is>
          <t>formula reference drift</t>
        </is>
      </c>
    </row>
    <row r="288">
      <c r="A288" s="91" t="inlineStr">
        <is>
          <t>P3</t>
        </is>
      </c>
      <c r="B288" s="91" t="inlineStr">
        <is>
          <t>L32</t>
        </is>
      </c>
      <c r="C288" s="91" t="inlineStr">
        <is>
          <t>$Y$9</t>
        </is>
      </c>
      <c r="D288" s="91" t="inlineStr">
        <is>
          <t>-&gt; named anchors</t>
        </is>
      </c>
      <c r="E288" s="91" t="inlineStr">
        <is>
          <t>formula reference drift</t>
        </is>
      </c>
    </row>
    <row r="289">
      <c r="A289" s="91" t="inlineStr">
        <is>
          <t>P3</t>
        </is>
      </c>
      <c r="B289" s="91" t="inlineStr">
        <is>
          <t>N32</t>
        </is>
      </c>
      <c r="C289" s="91" t="inlineStr">
        <is>
          <t>/135</t>
        </is>
      </c>
      <c r="D289" s="91" t="inlineStr">
        <is>
          <t>-&gt; named anchors</t>
        </is>
      </c>
      <c r="E289" s="91" t="inlineStr">
        <is>
          <t>formula reference drift</t>
        </is>
      </c>
    </row>
    <row r="290">
      <c r="A290" s="91" t="inlineStr">
        <is>
          <t>P3</t>
        </is>
      </c>
      <c r="B290" s="91" t="inlineStr">
        <is>
          <t>O32</t>
        </is>
      </c>
      <c r="C290" s="91" t="inlineStr">
        <is>
          <t>$Y$10</t>
        </is>
      </c>
      <c r="D290" s="91" t="inlineStr">
        <is>
          <t>-&gt; named anchors</t>
        </is>
      </c>
      <c r="E290" s="91" t="inlineStr">
        <is>
          <t>formula reference drift</t>
        </is>
      </c>
    </row>
    <row r="291">
      <c r="A291" s="91" t="inlineStr">
        <is>
          <t>P3</t>
        </is>
      </c>
      <c r="B291" s="91" t="inlineStr">
        <is>
          <t>P32</t>
        </is>
      </c>
      <c r="C291" s="91" t="inlineStr">
        <is>
          <t>$W$6</t>
        </is>
      </c>
      <c r="D291" s="91" t="inlineStr">
        <is>
          <t>-&gt; named anchors</t>
        </is>
      </c>
      <c r="E291" s="91" t="inlineStr">
        <is>
          <t>formula reference drift</t>
        </is>
      </c>
    </row>
    <row r="292">
      <c r="A292" s="91" t="inlineStr">
        <is>
          <t>P3</t>
        </is>
      </c>
      <c r="B292" s="91" t="inlineStr">
        <is>
          <t>Q32</t>
        </is>
      </c>
      <c r="C292" s="91" t="inlineStr">
        <is>
          <t>$Y$11</t>
        </is>
      </c>
      <c r="D292" s="91" t="inlineStr">
        <is>
          <t>-&gt; named anchors</t>
        </is>
      </c>
      <c r="E292" s="91" t="inlineStr">
        <is>
          <t>formula reference drift</t>
        </is>
      </c>
    </row>
    <row r="293">
      <c r="A293" s="91" t="inlineStr">
        <is>
          <t>P3</t>
        </is>
      </c>
      <c r="B293" s="91" t="inlineStr">
        <is>
          <t>R32</t>
        </is>
      </c>
      <c r="C293" s="91" t="inlineStr">
        <is>
          <t>$W$6</t>
        </is>
      </c>
      <c r="D293" s="91" t="inlineStr">
        <is>
          <t>-&gt; named anchors</t>
        </is>
      </c>
      <c r="E293" s="91" t="inlineStr">
        <is>
          <t>formula reference drift</t>
        </is>
      </c>
    </row>
    <row r="294">
      <c r="A294" s="91" t="inlineStr">
        <is>
          <t>P3</t>
        </is>
      </c>
      <c r="B294" s="91" t="inlineStr">
        <is>
          <t>S32</t>
        </is>
      </c>
      <c r="C294" s="91" t="inlineStr">
        <is>
          <t>$Y$12</t>
        </is>
      </c>
      <c r="D294" s="91" t="inlineStr">
        <is>
          <t>-&gt; named anchors</t>
        </is>
      </c>
      <c r="E294" s="91" t="inlineStr">
        <is>
          <t>formula reference drift</t>
        </is>
      </c>
    </row>
    <row r="295">
      <c r="A295" s="91" t="inlineStr">
        <is>
          <t>P3</t>
        </is>
      </c>
      <c r="B295" s="91" t="inlineStr">
        <is>
          <t>T32</t>
        </is>
      </c>
      <c r="C295" s="91" t="inlineStr">
        <is>
          <t>$W$6</t>
        </is>
      </c>
      <c r="D295" s="91" t="inlineStr">
        <is>
          <t>-&gt; named anchors</t>
        </is>
      </c>
      <c r="E295" s="91" t="inlineStr">
        <is>
          <t>formula reference drift</t>
        </is>
      </c>
    </row>
    <row r="296">
      <c r="A296" s="91" t="inlineStr">
        <is>
          <t>P3</t>
        </is>
      </c>
      <c r="B296" s="91" t="inlineStr">
        <is>
          <t>K33</t>
        </is>
      </c>
      <c r="C296" s="91" t="inlineStr">
        <is>
          <t>$W$6</t>
        </is>
      </c>
      <c r="D296" s="91" t="inlineStr">
        <is>
          <t>-&gt; named anchors</t>
        </is>
      </c>
      <c r="E296" s="91" t="inlineStr">
        <is>
          <t>formula reference drift</t>
        </is>
      </c>
    </row>
    <row r="297">
      <c r="A297" s="91" t="inlineStr">
        <is>
          <t>P3</t>
        </is>
      </c>
      <c r="B297" s="91" t="inlineStr">
        <is>
          <t>L33</t>
        </is>
      </c>
      <c r="C297" s="91" t="inlineStr">
        <is>
          <t>$Y$9</t>
        </is>
      </c>
      <c r="D297" s="91" t="inlineStr">
        <is>
          <t>-&gt; named anchors</t>
        </is>
      </c>
      <c r="E297" s="91" t="inlineStr">
        <is>
          <t>formula reference drift</t>
        </is>
      </c>
    </row>
    <row r="298">
      <c r="A298" s="91" t="inlineStr">
        <is>
          <t>P3</t>
        </is>
      </c>
      <c r="B298" s="91" t="inlineStr">
        <is>
          <t>N33</t>
        </is>
      </c>
      <c r="C298" s="91" t="inlineStr">
        <is>
          <t>/135</t>
        </is>
      </c>
      <c r="D298" s="91" t="inlineStr">
        <is>
          <t>-&gt; named anchors</t>
        </is>
      </c>
      <c r="E298" s="91" t="inlineStr">
        <is>
          <t>formula reference drift</t>
        </is>
      </c>
    </row>
    <row r="299">
      <c r="A299" s="91" t="inlineStr">
        <is>
          <t>P3</t>
        </is>
      </c>
      <c r="B299" s="91" t="inlineStr">
        <is>
          <t>O33</t>
        </is>
      </c>
      <c r="C299" s="91" t="inlineStr">
        <is>
          <t>$Y$10</t>
        </is>
      </c>
      <c r="D299" s="91" t="inlineStr">
        <is>
          <t>-&gt; named anchors</t>
        </is>
      </c>
      <c r="E299" s="91" t="inlineStr">
        <is>
          <t>formula reference drift</t>
        </is>
      </c>
    </row>
    <row r="300">
      <c r="A300" s="91" t="inlineStr">
        <is>
          <t>P3</t>
        </is>
      </c>
      <c r="B300" s="91" t="inlineStr">
        <is>
          <t>P33</t>
        </is>
      </c>
      <c r="C300" s="91" t="inlineStr">
        <is>
          <t>$W$6</t>
        </is>
      </c>
      <c r="D300" s="91" t="inlineStr">
        <is>
          <t>-&gt; named anchors</t>
        </is>
      </c>
      <c r="E300" s="91" t="inlineStr">
        <is>
          <t>formula reference drift</t>
        </is>
      </c>
    </row>
    <row r="301">
      <c r="A301" s="91" t="inlineStr">
        <is>
          <t>P3</t>
        </is>
      </c>
      <c r="B301" s="91" t="inlineStr">
        <is>
          <t>Q33</t>
        </is>
      </c>
      <c r="C301" s="91" t="inlineStr">
        <is>
          <t>$Y$11</t>
        </is>
      </c>
      <c r="D301" s="91" t="inlineStr">
        <is>
          <t>-&gt; named anchors</t>
        </is>
      </c>
      <c r="E301" s="91" t="inlineStr">
        <is>
          <t>formula reference drift</t>
        </is>
      </c>
    </row>
    <row r="302">
      <c r="A302" s="91" t="inlineStr">
        <is>
          <t>P3</t>
        </is>
      </c>
      <c r="B302" s="91" t="inlineStr">
        <is>
          <t>R33</t>
        </is>
      </c>
      <c r="C302" s="91" t="inlineStr">
        <is>
          <t>$W$6</t>
        </is>
      </c>
      <c r="D302" s="91" t="inlineStr">
        <is>
          <t>-&gt; named anchors</t>
        </is>
      </c>
      <c r="E302" s="91" t="inlineStr">
        <is>
          <t>formula reference drift</t>
        </is>
      </c>
    </row>
    <row r="303">
      <c r="A303" s="91" t="inlineStr">
        <is>
          <t>P3</t>
        </is>
      </c>
      <c r="B303" s="91" t="inlineStr">
        <is>
          <t>S33</t>
        </is>
      </c>
      <c r="C303" s="91" t="inlineStr">
        <is>
          <t>$Y$12</t>
        </is>
      </c>
      <c r="D303" s="91" t="inlineStr">
        <is>
          <t>-&gt; named anchors</t>
        </is>
      </c>
      <c r="E303" s="91" t="inlineStr">
        <is>
          <t>formula reference drift</t>
        </is>
      </c>
    </row>
    <row r="304">
      <c r="A304" s="91" t="inlineStr">
        <is>
          <t>P3</t>
        </is>
      </c>
      <c r="B304" s="91" t="inlineStr">
        <is>
          <t>T33</t>
        </is>
      </c>
      <c r="C304" s="91" t="inlineStr">
        <is>
          <t>$W$6</t>
        </is>
      </c>
      <c r="D304" s="91" t="inlineStr">
        <is>
          <t>-&gt; named anchors</t>
        </is>
      </c>
      <c r="E304" s="91" t="inlineStr">
        <is>
          <t>formula reference drift</t>
        </is>
      </c>
    </row>
    <row r="305">
      <c r="A305" s="91" t="inlineStr">
        <is>
          <t>P3</t>
        </is>
      </c>
      <c r="B305" s="91" t="inlineStr">
        <is>
          <t>K34</t>
        </is>
      </c>
      <c r="C305" s="91" t="inlineStr">
        <is>
          <t>$W$8</t>
        </is>
      </c>
      <c r="D305" s="91" t="inlineStr">
        <is>
          <t>-&gt; named anchors</t>
        </is>
      </c>
      <c r="E305" s="91" t="inlineStr">
        <is>
          <t>formula reference drift</t>
        </is>
      </c>
    </row>
    <row r="306">
      <c r="A306" s="91" t="inlineStr">
        <is>
          <t>P3</t>
        </is>
      </c>
      <c r="B306" s="91" t="inlineStr">
        <is>
          <t>L34</t>
        </is>
      </c>
      <c r="C306" s="91" t="inlineStr">
        <is>
          <t>$Y$11</t>
        </is>
      </c>
      <c r="D306" s="91" t="inlineStr">
        <is>
          <t>-&gt; named anchors</t>
        </is>
      </c>
      <c r="E306" s="91" t="inlineStr">
        <is>
          <t>formula reference drift</t>
        </is>
      </c>
    </row>
    <row r="307">
      <c r="A307" s="91" t="inlineStr">
        <is>
          <t>P3</t>
        </is>
      </c>
      <c r="B307" s="91" t="inlineStr">
        <is>
          <t>N34</t>
        </is>
      </c>
      <c r="C307" s="91" t="inlineStr">
        <is>
          <t>/135</t>
        </is>
      </c>
      <c r="D307" s="91" t="inlineStr">
        <is>
          <t>-&gt; named anchors</t>
        </is>
      </c>
      <c r="E307" s="91" t="inlineStr">
        <is>
          <t>formula reference drift</t>
        </is>
      </c>
    </row>
    <row r="308">
      <c r="A308" s="91" t="inlineStr">
        <is>
          <t>P3</t>
        </is>
      </c>
      <c r="B308" s="91" t="inlineStr">
        <is>
          <t>O34</t>
        </is>
      </c>
      <c r="C308" s="91" t="inlineStr">
        <is>
          <t>$Y$10</t>
        </is>
      </c>
      <c r="D308" s="91" t="inlineStr">
        <is>
          <t>-&gt; named anchors</t>
        </is>
      </c>
      <c r="E308" s="91" t="inlineStr">
        <is>
          <t>formula reference drift</t>
        </is>
      </c>
    </row>
    <row r="309">
      <c r="A309" s="91" t="inlineStr">
        <is>
          <t>P3</t>
        </is>
      </c>
      <c r="B309" s="91" t="inlineStr">
        <is>
          <t>P34</t>
        </is>
      </c>
      <c r="C309" s="91" t="inlineStr">
        <is>
          <t>$W$8</t>
        </is>
      </c>
      <c r="D309" s="91" t="inlineStr">
        <is>
          <t>-&gt; named anchors</t>
        </is>
      </c>
      <c r="E309" s="91" t="inlineStr">
        <is>
          <t>formula reference drift</t>
        </is>
      </c>
    </row>
    <row r="310">
      <c r="A310" s="91" t="inlineStr">
        <is>
          <t>P3</t>
        </is>
      </c>
      <c r="B310" s="91" t="inlineStr">
        <is>
          <t>Q34</t>
        </is>
      </c>
      <c r="C310" s="91" t="inlineStr">
        <is>
          <t>$Y$13</t>
        </is>
      </c>
      <c r="D310" s="91" t="inlineStr">
        <is>
          <t>-&gt; named anchors</t>
        </is>
      </c>
      <c r="E310" s="91" t="inlineStr">
        <is>
          <t>formula reference drift</t>
        </is>
      </c>
    </row>
    <row r="311">
      <c r="A311" s="91" t="inlineStr">
        <is>
          <t>P3</t>
        </is>
      </c>
      <c r="B311" s="91" t="inlineStr">
        <is>
          <t>R34</t>
        </is>
      </c>
      <c r="C311" s="91" t="inlineStr">
        <is>
          <t>$W$8</t>
        </is>
      </c>
      <c r="D311" s="91" t="inlineStr">
        <is>
          <t>-&gt; named anchors</t>
        </is>
      </c>
      <c r="E311" s="91" t="inlineStr">
        <is>
          <t>formula reference drift</t>
        </is>
      </c>
    </row>
    <row r="312">
      <c r="A312" s="91" t="inlineStr">
        <is>
          <t>P3</t>
        </is>
      </c>
      <c r="B312" s="91" t="inlineStr">
        <is>
          <t>S34</t>
        </is>
      </c>
      <c r="C312" s="91" t="inlineStr">
        <is>
          <t>$Y$14</t>
        </is>
      </c>
      <c r="D312" s="91" t="inlineStr">
        <is>
          <t>-&gt; named anchors</t>
        </is>
      </c>
      <c r="E312" s="91" t="inlineStr">
        <is>
          <t>formula reference drift</t>
        </is>
      </c>
    </row>
    <row r="313">
      <c r="A313" s="91" t="inlineStr">
        <is>
          <t>P3</t>
        </is>
      </c>
      <c r="B313" s="91" t="inlineStr">
        <is>
          <t>T34</t>
        </is>
      </c>
      <c r="C313" s="91" t="inlineStr">
        <is>
          <t>$W$8</t>
        </is>
      </c>
      <c r="D313" s="91" t="inlineStr">
        <is>
          <t>-&gt; named anchors</t>
        </is>
      </c>
      <c r="E313" s="91" t="inlineStr">
        <is>
          <t>formula reference drift</t>
        </is>
      </c>
    </row>
    <row r="314">
      <c r="A314" s="91" t="inlineStr">
        <is>
          <t>P3</t>
        </is>
      </c>
      <c r="B314" s="91" t="inlineStr">
        <is>
          <t>K35</t>
        </is>
      </c>
      <c r="C314" s="91" t="inlineStr">
        <is>
          <t>$W$8</t>
        </is>
      </c>
      <c r="D314" s="91" t="inlineStr">
        <is>
          <t>-&gt; named anchors</t>
        </is>
      </c>
      <c r="E314" s="91" t="inlineStr">
        <is>
          <t>formula reference drift</t>
        </is>
      </c>
    </row>
    <row r="315">
      <c r="A315" s="91" t="inlineStr">
        <is>
          <t>P3</t>
        </is>
      </c>
      <c r="B315" s="91" t="inlineStr">
        <is>
          <t>L35</t>
        </is>
      </c>
      <c r="C315" s="91" t="inlineStr">
        <is>
          <t>$Y$11</t>
        </is>
      </c>
      <c r="D315" s="91" t="inlineStr">
        <is>
          <t>-&gt; named anchors</t>
        </is>
      </c>
      <c r="E315" s="91" t="inlineStr">
        <is>
          <t>formula reference drift</t>
        </is>
      </c>
    </row>
    <row r="316">
      <c r="A316" s="91" t="inlineStr">
        <is>
          <t>P3</t>
        </is>
      </c>
      <c r="B316" s="91" t="inlineStr">
        <is>
          <t>N35</t>
        </is>
      </c>
      <c r="C316" s="91" t="inlineStr">
        <is>
          <t>/135</t>
        </is>
      </c>
      <c r="D316" s="91" t="inlineStr">
        <is>
          <t>-&gt; named anchors</t>
        </is>
      </c>
      <c r="E316" s="91" t="inlineStr">
        <is>
          <t>formula reference drift</t>
        </is>
      </c>
    </row>
    <row r="317">
      <c r="A317" s="91" t="inlineStr">
        <is>
          <t>P3</t>
        </is>
      </c>
      <c r="B317" s="91" t="inlineStr">
        <is>
          <t>O35</t>
        </is>
      </c>
      <c r="C317" s="91" t="inlineStr">
        <is>
          <t>$Y$10,$Y$12</t>
        </is>
      </c>
      <c r="D317" s="91" t="inlineStr">
        <is>
          <t>-&gt; named anchors</t>
        </is>
      </c>
      <c r="E317" s="91" t="inlineStr">
        <is>
          <t>formula reference drift</t>
        </is>
      </c>
    </row>
    <row r="318">
      <c r="A318" s="91" t="inlineStr">
        <is>
          <t>P3</t>
        </is>
      </c>
      <c r="B318" s="91" t="inlineStr">
        <is>
          <t>P35</t>
        </is>
      </c>
      <c r="C318" s="91" t="inlineStr">
        <is>
          <t>$W$6</t>
        </is>
      </c>
      <c r="D318" s="91" t="inlineStr">
        <is>
          <t>-&gt; named anchors</t>
        </is>
      </c>
      <c r="E318" s="91" t="inlineStr">
        <is>
          <t>formula reference drift</t>
        </is>
      </c>
    </row>
    <row r="319">
      <c r="A319" s="91" t="inlineStr">
        <is>
          <t>P3</t>
        </is>
      </c>
      <c r="B319" s="91" t="inlineStr">
        <is>
          <t>Q35</t>
        </is>
      </c>
      <c r="C319" s="91" t="inlineStr">
        <is>
          <t>$Y$11</t>
        </is>
      </c>
      <c r="D319" s="91" t="inlineStr">
        <is>
          <t>-&gt; named anchors</t>
        </is>
      </c>
      <c r="E319" s="91" t="inlineStr">
        <is>
          <t>formula reference drift</t>
        </is>
      </c>
    </row>
    <row r="320">
      <c r="A320" s="91" t="inlineStr">
        <is>
          <t>P3</t>
        </is>
      </c>
      <c r="B320" s="91" t="inlineStr">
        <is>
          <t>R35</t>
        </is>
      </c>
      <c r="C320" s="91" t="inlineStr">
        <is>
          <t>$W$6</t>
        </is>
      </c>
      <c r="D320" s="91" t="inlineStr">
        <is>
          <t>-&gt; named anchors</t>
        </is>
      </c>
      <c r="E320" s="91" t="inlineStr">
        <is>
          <t>formula reference drift</t>
        </is>
      </c>
    </row>
    <row r="321">
      <c r="A321" s="91" t="inlineStr">
        <is>
          <t>P3</t>
        </is>
      </c>
      <c r="B321" s="91" t="inlineStr">
        <is>
          <t>S35</t>
        </is>
      </c>
      <c r="C321" s="91" t="inlineStr">
        <is>
          <t>$Y$12</t>
        </is>
      </c>
      <c r="D321" s="91" t="inlineStr">
        <is>
          <t>-&gt; named anchors</t>
        </is>
      </c>
      <c r="E321" s="91" t="inlineStr">
        <is>
          <t>formula reference drift</t>
        </is>
      </c>
    </row>
    <row r="322">
      <c r="A322" s="91" t="inlineStr">
        <is>
          <t>P3</t>
        </is>
      </c>
      <c r="B322" s="91" t="inlineStr">
        <is>
          <t>T35</t>
        </is>
      </c>
      <c r="C322" s="91" t="inlineStr">
        <is>
          <t>$W$6</t>
        </is>
      </c>
      <c r="D322" s="91" t="inlineStr">
        <is>
          <t>-&gt; named anchors</t>
        </is>
      </c>
      <c r="E322" s="91" t="inlineStr">
        <is>
          <t>formula reference drift</t>
        </is>
      </c>
    </row>
    <row r="323">
      <c r="A323" s="91" t="inlineStr">
        <is>
          <t>P3</t>
        </is>
      </c>
      <c r="B323" s="91" t="inlineStr">
        <is>
          <t>K36</t>
        </is>
      </c>
      <c r="C323" s="91" t="inlineStr">
        <is>
          <t>$W$8</t>
        </is>
      </c>
      <c r="D323" s="91" t="inlineStr">
        <is>
          <t>-&gt; named anchors</t>
        </is>
      </c>
      <c r="E323" s="91" t="inlineStr">
        <is>
          <t>formula reference drift</t>
        </is>
      </c>
    </row>
    <row r="324">
      <c r="A324" s="91" t="inlineStr">
        <is>
          <t>P3</t>
        </is>
      </c>
      <c r="B324" s="91" t="inlineStr">
        <is>
          <t>L36</t>
        </is>
      </c>
      <c r="C324" s="91" t="inlineStr">
        <is>
          <t>$Y$11</t>
        </is>
      </c>
      <c r="D324" s="91" t="inlineStr">
        <is>
          <t>-&gt; named anchors</t>
        </is>
      </c>
      <c r="E324" s="91" t="inlineStr">
        <is>
          <t>formula reference drift</t>
        </is>
      </c>
    </row>
    <row r="325">
      <c r="A325" s="91" t="inlineStr">
        <is>
          <t>P3</t>
        </is>
      </c>
      <c r="B325" s="91" t="inlineStr">
        <is>
          <t>N36</t>
        </is>
      </c>
      <c r="C325" s="91" t="inlineStr">
        <is>
          <t>/135</t>
        </is>
      </c>
      <c r="D325" s="91" t="inlineStr">
        <is>
          <t>-&gt; named anchors</t>
        </is>
      </c>
      <c r="E325" s="91" t="inlineStr">
        <is>
          <t>formula reference drift</t>
        </is>
      </c>
    </row>
    <row r="326">
      <c r="A326" s="91" t="inlineStr">
        <is>
          <t>P3</t>
        </is>
      </c>
      <c r="B326" s="91" t="inlineStr">
        <is>
          <t>O36</t>
        </is>
      </c>
      <c r="C326" s="91" t="inlineStr">
        <is>
          <t>$Y$10,$Y$12</t>
        </is>
      </c>
      <c r="D326" s="91" t="inlineStr">
        <is>
          <t>-&gt; named anchors</t>
        </is>
      </c>
      <c r="E326" s="91" t="inlineStr">
        <is>
          <t>formula reference drift</t>
        </is>
      </c>
    </row>
    <row r="327">
      <c r="A327" s="91" t="inlineStr">
        <is>
          <t>P3</t>
        </is>
      </c>
      <c r="B327" s="91" t="inlineStr">
        <is>
          <t>P36</t>
        </is>
      </c>
      <c r="C327" s="91" t="inlineStr">
        <is>
          <t>$W$6</t>
        </is>
      </c>
      <c r="D327" s="91" t="inlineStr">
        <is>
          <t>-&gt; named anchors</t>
        </is>
      </c>
      <c r="E327" s="91" t="inlineStr">
        <is>
          <t>formula reference drift</t>
        </is>
      </c>
    </row>
    <row r="328">
      <c r="A328" s="91" t="inlineStr">
        <is>
          <t>P3</t>
        </is>
      </c>
      <c r="B328" s="91" t="inlineStr">
        <is>
          <t>Q36</t>
        </is>
      </c>
      <c r="C328" s="91" t="inlineStr">
        <is>
          <t>$Y$11</t>
        </is>
      </c>
      <c r="D328" s="91" t="inlineStr">
        <is>
          <t>-&gt; named anchors</t>
        </is>
      </c>
      <c r="E328" s="91" t="inlineStr">
        <is>
          <t>formula reference drift</t>
        </is>
      </c>
    </row>
    <row r="329">
      <c r="A329" s="91" t="inlineStr">
        <is>
          <t>P3</t>
        </is>
      </c>
      <c r="B329" s="91" t="inlineStr">
        <is>
          <t>R36</t>
        </is>
      </c>
      <c r="C329" s="91" t="inlineStr">
        <is>
          <t>$W$6</t>
        </is>
      </c>
      <c r="D329" s="91" t="inlineStr">
        <is>
          <t>-&gt; named anchors</t>
        </is>
      </c>
      <c r="E329" s="91" t="inlineStr">
        <is>
          <t>formula reference drift</t>
        </is>
      </c>
    </row>
    <row r="330">
      <c r="A330" s="91" t="inlineStr">
        <is>
          <t>P3</t>
        </is>
      </c>
      <c r="B330" s="91" t="inlineStr">
        <is>
          <t>S36</t>
        </is>
      </c>
      <c r="C330" s="91" t="inlineStr">
        <is>
          <t>$Y$12</t>
        </is>
      </c>
      <c r="D330" s="91" t="inlineStr">
        <is>
          <t>-&gt; named anchors</t>
        </is>
      </c>
      <c r="E330" s="91" t="inlineStr">
        <is>
          <t>formula reference drift</t>
        </is>
      </c>
    </row>
    <row r="331">
      <c r="A331" s="91" t="inlineStr">
        <is>
          <t>P3</t>
        </is>
      </c>
      <c r="B331" s="91" t="inlineStr">
        <is>
          <t>T36</t>
        </is>
      </c>
      <c r="C331" s="91" t="inlineStr">
        <is>
          <t>$W$6</t>
        </is>
      </c>
      <c r="D331" s="91" t="inlineStr">
        <is>
          <t>-&gt; named anchors</t>
        </is>
      </c>
      <c r="E331" s="91" t="inlineStr">
        <is>
          <t>formula reference drift</t>
        </is>
      </c>
    </row>
    <row r="332">
      <c r="A332" s="91" t="inlineStr">
        <is>
          <t>P3</t>
        </is>
      </c>
      <c r="B332" s="91" t="inlineStr">
        <is>
          <t>K37</t>
        </is>
      </c>
      <c r="C332" s="91" t="inlineStr">
        <is>
          <t>$W$8</t>
        </is>
      </c>
      <c r="D332" s="91" t="inlineStr">
        <is>
          <t>-&gt; named anchors</t>
        </is>
      </c>
      <c r="E332" s="91" t="inlineStr">
        <is>
          <t>formula reference drift</t>
        </is>
      </c>
    </row>
    <row r="333">
      <c r="A333" s="91" t="inlineStr">
        <is>
          <t>P3</t>
        </is>
      </c>
      <c r="B333" s="91" t="inlineStr">
        <is>
          <t>L37</t>
        </is>
      </c>
      <c r="C333" s="91" t="inlineStr">
        <is>
          <t>$Y$11</t>
        </is>
      </c>
      <c r="D333" s="91" t="inlineStr">
        <is>
          <t>-&gt; named anchors</t>
        </is>
      </c>
      <c r="E333" s="91" t="inlineStr">
        <is>
          <t>formula reference drift</t>
        </is>
      </c>
    </row>
    <row r="334">
      <c r="A334" s="91" t="inlineStr">
        <is>
          <t>P3</t>
        </is>
      </c>
      <c r="B334" s="91" t="inlineStr">
        <is>
          <t>N37</t>
        </is>
      </c>
      <c r="C334" s="91" t="inlineStr">
        <is>
          <t>/135</t>
        </is>
      </c>
      <c r="D334" s="91" t="inlineStr">
        <is>
          <t>-&gt; named anchors</t>
        </is>
      </c>
      <c r="E334" s="91" t="inlineStr">
        <is>
          <t>formula reference drift</t>
        </is>
      </c>
    </row>
    <row r="335">
      <c r="A335" s="91" t="inlineStr">
        <is>
          <t>P3</t>
        </is>
      </c>
      <c r="B335" s="91" t="inlineStr">
        <is>
          <t>O37</t>
        </is>
      </c>
      <c r="C335" s="91" t="inlineStr">
        <is>
          <t>$Y$10</t>
        </is>
      </c>
      <c r="D335" s="91" t="inlineStr">
        <is>
          <t>-&gt; named anchors</t>
        </is>
      </c>
      <c r="E335" s="91" t="inlineStr">
        <is>
          <t>formula reference drift</t>
        </is>
      </c>
    </row>
    <row r="336">
      <c r="A336" s="91" t="inlineStr">
        <is>
          <t>P3</t>
        </is>
      </c>
      <c r="B336" s="91" t="inlineStr">
        <is>
          <t>P37</t>
        </is>
      </c>
      <c r="C336" s="91" t="inlineStr">
        <is>
          <t>$W$6</t>
        </is>
      </c>
      <c r="D336" s="91" t="inlineStr">
        <is>
          <t>-&gt; named anchors</t>
        </is>
      </c>
      <c r="E336" s="91" t="inlineStr">
        <is>
          <t>formula reference drift</t>
        </is>
      </c>
    </row>
    <row r="337">
      <c r="A337" s="91" t="inlineStr">
        <is>
          <t>P3</t>
        </is>
      </c>
      <c r="B337" s="91" t="inlineStr">
        <is>
          <t>Q37</t>
        </is>
      </c>
      <c r="C337" s="91" t="inlineStr">
        <is>
          <t>$Y$11</t>
        </is>
      </c>
      <c r="D337" s="91" t="inlineStr">
        <is>
          <t>-&gt; named anchors</t>
        </is>
      </c>
      <c r="E337" s="91" t="inlineStr">
        <is>
          <t>formula reference drift</t>
        </is>
      </c>
    </row>
    <row r="338">
      <c r="A338" s="91" t="inlineStr">
        <is>
          <t>P3</t>
        </is>
      </c>
      <c r="B338" s="91" t="inlineStr">
        <is>
          <t>R37</t>
        </is>
      </c>
      <c r="C338" s="91" t="inlineStr">
        <is>
          <t>$W$6</t>
        </is>
      </c>
      <c r="D338" s="91" t="inlineStr">
        <is>
          <t>-&gt; named anchors</t>
        </is>
      </c>
      <c r="E338" s="91" t="inlineStr">
        <is>
          <t>formula reference drift</t>
        </is>
      </c>
    </row>
    <row r="339">
      <c r="A339" s="91" t="inlineStr">
        <is>
          <t>P3</t>
        </is>
      </c>
      <c r="B339" s="91" t="inlineStr">
        <is>
          <t>S37</t>
        </is>
      </c>
      <c r="C339" s="91" t="inlineStr">
        <is>
          <t>$Y$12</t>
        </is>
      </c>
      <c r="D339" s="91" t="inlineStr">
        <is>
          <t>-&gt; named anchors</t>
        </is>
      </c>
      <c r="E339" s="91" t="inlineStr">
        <is>
          <t>formula reference drift</t>
        </is>
      </c>
    </row>
    <row r="340">
      <c r="A340" s="91" t="inlineStr">
        <is>
          <t>P3</t>
        </is>
      </c>
      <c r="B340" s="91" t="inlineStr">
        <is>
          <t>T37</t>
        </is>
      </c>
      <c r="C340" s="91" t="inlineStr">
        <is>
          <t>$W$6</t>
        </is>
      </c>
      <c r="D340" s="91" t="inlineStr">
        <is>
          <t>-&gt; named anchors</t>
        </is>
      </c>
      <c r="E340" s="91" t="inlineStr">
        <is>
          <t>formula reference drift</t>
        </is>
      </c>
    </row>
    <row r="341">
      <c r="A341" s="91" t="inlineStr">
        <is>
          <t>P3</t>
        </is>
      </c>
      <c r="B341" s="91" t="inlineStr">
        <is>
          <t>K38</t>
        </is>
      </c>
      <c r="C341" s="91" t="inlineStr">
        <is>
          <t>$W$8</t>
        </is>
      </c>
      <c r="D341" s="91" t="inlineStr">
        <is>
          <t>-&gt; named anchors</t>
        </is>
      </c>
      <c r="E341" s="91" t="inlineStr">
        <is>
          <t>formula reference drift</t>
        </is>
      </c>
    </row>
    <row r="342">
      <c r="A342" s="91" t="inlineStr">
        <is>
          <t>P3</t>
        </is>
      </c>
      <c r="B342" s="91" t="inlineStr">
        <is>
          <t>L38</t>
        </is>
      </c>
      <c r="C342" s="91" t="inlineStr">
        <is>
          <t>$Y$11</t>
        </is>
      </c>
      <c r="D342" s="91" t="inlineStr">
        <is>
          <t>-&gt; named anchors</t>
        </is>
      </c>
      <c r="E342" s="91" t="inlineStr">
        <is>
          <t>formula reference drift</t>
        </is>
      </c>
    </row>
    <row r="343">
      <c r="A343" s="91" t="inlineStr">
        <is>
          <t>P3</t>
        </is>
      </c>
      <c r="B343" s="91" t="inlineStr">
        <is>
          <t>N38</t>
        </is>
      </c>
      <c r="C343" s="91" t="inlineStr">
        <is>
          <t>/135</t>
        </is>
      </c>
      <c r="D343" s="91" t="inlineStr">
        <is>
          <t>-&gt; named anchors</t>
        </is>
      </c>
      <c r="E343" s="91" t="inlineStr">
        <is>
          <t>formula reference drift</t>
        </is>
      </c>
    </row>
    <row r="344">
      <c r="A344" s="91" t="inlineStr">
        <is>
          <t>P3</t>
        </is>
      </c>
      <c r="B344" s="91" t="inlineStr">
        <is>
          <t>O38</t>
        </is>
      </c>
      <c r="C344" s="91" t="inlineStr">
        <is>
          <t>$Y$10</t>
        </is>
      </c>
      <c r="D344" s="91" t="inlineStr">
        <is>
          <t>-&gt; named anchors</t>
        </is>
      </c>
      <c r="E344" s="91" t="inlineStr">
        <is>
          <t>formula reference drift</t>
        </is>
      </c>
    </row>
    <row r="345">
      <c r="A345" s="91" t="inlineStr">
        <is>
          <t>P3</t>
        </is>
      </c>
      <c r="B345" s="91" t="inlineStr">
        <is>
          <t>P38</t>
        </is>
      </c>
      <c r="C345" s="91" t="inlineStr">
        <is>
          <t>$W$6</t>
        </is>
      </c>
      <c r="D345" s="91" t="inlineStr">
        <is>
          <t>-&gt; named anchors</t>
        </is>
      </c>
      <c r="E345" s="91" t="inlineStr">
        <is>
          <t>formula reference drift</t>
        </is>
      </c>
    </row>
    <row r="346">
      <c r="A346" s="91" t="inlineStr">
        <is>
          <t>P3</t>
        </is>
      </c>
      <c r="B346" s="91" t="inlineStr">
        <is>
          <t>Q38</t>
        </is>
      </c>
      <c r="C346" s="91" t="inlineStr">
        <is>
          <t>$Y$11</t>
        </is>
      </c>
      <c r="D346" s="91" t="inlineStr">
        <is>
          <t>-&gt; named anchors</t>
        </is>
      </c>
      <c r="E346" s="91" t="inlineStr">
        <is>
          <t>formula reference drift</t>
        </is>
      </c>
    </row>
    <row r="347">
      <c r="A347" s="91" t="inlineStr">
        <is>
          <t>P3</t>
        </is>
      </c>
      <c r="B347" s="91" t="inlineStr">
        <is>
          <t>R38</t>
        </is>
      </c>
      <c r="C347" s="91" t="inlineStr">
        <is>
          <t>$W$6</t>
        </is>
      </c>
      <c r="D347" s="91" t="inlineStr">
        <is>
          <t>-&gt; named anchors</t>
        </is>
      </c>
      <c r="E347" s="91" t="inlineStr">
        <is>
          <t>formula reference drift</t>
        </is>
      </c>
    </row>
    <row r="348">
      <c r="A348" s="91" t="inlineStr">
        <is>
          <t>P3</t>
        </is>
      </c>
      <c r="B348" s="91" t="inlineStr">
        <is>
          <t>S38</t>
        </is>
      </c>
      <c r="C348" s="91" t="inlineStr">
        <is>
          <t>$Y$12</t>
        </is>
      </c>
      <c r="D348" s="91" t="inlineStr">
        <is>
          <t>-&gt; named anchors</t>
        </is>
      </c>
      <c r="E348" s="91" t="inlineStr">
        <is>
          <t>formula reference drift</t>
        </is>
      </c>
    </row>
    <row r="349">
      <c r="A349" s="91" t="inlineStr">
        <is>
          <t>P3</t>
        </is>
      </c>
      <c r="B349" s="91" t="inlineStr">
        <is>
          <t>T38</t>
        </is>
      </c>
      <c r="C349" s="91" t="inlineStr">
        <is>
          <t>$W$6</t>
        </is>
      </c>
      <c r="D349" s="91" t="inlineStr">
        <is>
          <t>-&gt; named anchors</t>
        </is>
      </c>
      <c r="E349" s="91" t="inlineStr">
        <is>
          <t>formula reference drift</t>
        </is>
      </c>
    </row>
    <row r="350">
      <c r="A350" s="91" t="inlineStr">
        <is>
          <t>P3</t>
        </is>
      </c>
      <c r="B350" s="91" t="inlineStr">
        <is>
          <t>K39</t>
        </is>
      </c>
      <c r="C350" s="91" t="inlineStr">
        <is>
          <t>$W$8</t>
        </is>
      </c>
      <c r="D350" s="91" t="inlineStr">
        <is>
          <t>-&gt; named anchors</t>
        </is>
      </c>
      <c r="E350" s="91" t="inlineStr">
        <is>
          <t>formula reference drift</t>
        </is>
      </c>
    </row>
    <row r="351">
      <c r="A351" s="91" t="inlineStr">
        <is>
          <t>P3</t>
        </is>
      </c>
      <c r="B351" s="91" t="inlineStr">
        <is>
          <t>L39</t>
        </is>
      </c>
      <c r="C351" s="91" t="inlineStr">
        <is>
          <t>$Y$11</t>
        </is>
      </c>
      <c r="D351" s="91" t="inlineStr">
        <is>
          <t>-&gt; named anchors</t>
        </is>
      </c>
      <c r="E351" s="91" t="inlineStr">
        <is>
          <t>formula reference drift</t>
        </is>
      </c>
    </row>
    <row r="352">
      <c r="A352" s="91" t="inlineStr">
        <is>
          <t>P3</t>
        </is>
      </c>
      <c r="B352" s="91" t="inlineStr">
        <is>
          <t>N39</t>
        </is>
      </c>
      <c r="C352" s="91" t="inlineStr">
        <is>
          <t>/135</t>
        </is>
      </c>
      <c r="D352" s="91" t="inlineStr">
        <is>
          <t>-&gt; named anchors</t>
        </is>
      </c>
      <c r="E352" s="91" t="inlineStr">
        <is>
          <t>formula reference drift</t>
        </is>
      </c>
    </row>
    <row r="353">
      <c r="A353" s="91" t="inlineStr">
        <is>
          <t>P3</t>
        </is>
      </c>
      <c r="B353" s="91" t="inlineStr">
        <is>
          <t>O39</t>
        </is>
      </c>
      <c r="C353" s="91" t="inlineStr">
        <is>
          <t>$Y$10</t>
        </is>
      </c>
      <c r="D353" s="91" t="inlineStr">
        <is>
          <t>-&gt; named anchors</t>
        </is>
      </c>
      <c r="E353" s="91" t="inlineStr">
        <is>
          <t>formula reference drift</t>
        </is>
      </c>
    </row>
    <row r="354">
      <c r="A354" s="91" t="inlineStr">
        <is>
          <t>P3</t>
        </is>
      </c>
      <c r="B354" s="91" t="inlineStr">
        <is>
          <t>P39</t>
        </is>
      </c>
      <c r="C354" s="91" t="inlineStr">
        <is>
          <t>$W$6</t>
        </is>
      </c>
      <c r="D354" s="91" t="inlineStr">
        <is>
          <t>-&gt; named anchors</t>
        </is>
      </c>
      <c r="E354" s="91" t="inlineStr">
        <is>
          <t>formula reference drift</t>
        </is>
      </c>
    </row>
    <row r="355">
      <c r="A355" s="91" t="inlineStr">
        <is>
          <t>P3</t>
        </is>
      </c>
      <c r="B355" s="91" t="inlineStr">
        <is>
          <t>Q39</t>
        </is>
      </c>
      <c r="C355" s="91" t="inlineStr">
        <is>
          <t>$Y$11</t>
        </is>
      </c>
      <c r="D355" s="91" t="inlineStr">
        <is>
          <t>-&gt; named anchors</t>
        </is>
      </c>
      <c r="E355" s="91" t="inlineStr">
        <is>
          <t>formula reference drift</t>
        </is>
      </c>
    </row>
    <row r="356">
      <c r="A356" s="91" t="inlineStr">
        <is>
          <t>P3</t>
        </is>
      </c>
      <c r="B356" s="91" t="inlineStr">
        <is>
          <t>R39</t>
        </is>
      </c>
      <c r="C356" s="91" t="inlineStr">
        <is>
          <t>$W$6</t>
        </is>
      </c>
      <c r="D356" s="91" t="inlineStr">
        <is>
          <t>-&gt; named anchors</t>
        </is>
      </c>
      <c r="E356" s="91" t="inlineStr">
        <is>
          <t>formula reference drift</t>
        </is>
      </c>
    </row>
    <row r="357">
      <c r="A357" s="91" t="inlineStr">
        <is>
          <t>P3</t>
        </is>
      </c>
      <c r="B357" s="91" t="inlineStr">
        <is>
          <t>S39</t>
        </is>
      </c>
      <c r="C357" s="91" t="inlineStr">
        <is>
          <t>$Y$12</t>
        </is>
      </c>
      <c r="D357" s="91" t="inlineStr">
        <is>
          <t>-&gt; named anchors</t>
        </is>
      </c>
      <c r="E357" s="91" t="inlineStr">
        <is>
          <t>formula reference drift</t>
        </is>
      </c>
    </row>
    <row r="358">
      <c r="A358" s="91" t="inlineStr">
        <is>
          <t>P3</t>
        </is>
      </c>
      <c r="B358" s="91" t="inlineStr">
        <is>
          <t>T39</t>
        </is>
      </c>
      <c r="C358" s="91" t="inlineStr">
        <is>
          <t>$W$6</t>
        </is>
      </c>
      <c r="D358" s="91" t="inlineStr">
        <is>
          <t>-&gt; named anchors</t>
        </is>
      </c>
      <c r="E358" s="91" t="inlineStr">
        <is>
          <t>formula reference drift</t>
        </is>
      </c>
    </row>
    <row r="359">
      <c r="A359" s="91" t="inlineStr">
        <is>
          <t>P3</t>
        </is>
      </c>
      <c r="B359" s="91" t="inlineStr">
        <is>
          <t>K40</t>
        </is>
      </c>
      <c r="C359" s="91" t="inlineStr">
        <is>
          <t>$W$8</t>
        </is>
      </c>
      <c r="D359" s="91" t="inlineStr">
        <is>
          <t>-&gt; named anchors</t>
        </is>
      </c>
      <c r="E359" s="91" t="inlineStr">
        <is>
          <t>formula reference drift</t>
        </is>
      </c>
    </row>
    <row r="360">
      <c r="A360" s="91" t="inlineStr">
        <is>
          <t>P3</t>
        </is>
      </c>
      <c r="B360" s="91" t="inlineStr">
        <is>
          <t>L40</t>
        </is>
      </c>
      <c r="C360" s="91" t="inlineStr">
        <is>
          <t>$Y$11</t>
        </is>
      </c>
      <c r="D360" s="91" t="inlineStr">
        <is>
          <t>-&gt; named anchors</t>
        </is>
      </c>
      <c r="E360" s="91" t="inlineStr">
        <is>
          <t>formula reference drift</t>
        </is>
      </c>
    </row>
    <row r="361">
      <c r="A361" s="91" t="inlineStr">
        <is>
          <t>P3</t>
        </is>
      </c>
      <c r="B361" s="91" t="inlineStr">
        <is>
          <t>N40</t>
        </is>
      </c>
      <c r="C361" s="91" t="inlineStr">
        <is>
          <t>/135</t>
        </is>
      </c>
      <c r="D361" s="91" t="inlineStr">
        <is>
          <t>-&gt; named anchors</t>
        </is>
      </c>
      <c r="E361" s="91" t="inlineStr">
        <is>
          <t>formula reference drift</t>
        </is>
      </c>
    </row>
    <row r="362">
      <c r="A362" s="91" t="inlineStr">
        <is>
          <t>P3</t>
        </is>
      </c>
      <c r="B362" s="91" t="inlineStr">
        <is>
          <t>O40</t>
        </is>
      </c>
      <c r="C362" s="91" t="inlineStr">
        <is>
          <t>$Y$10</t>
        </is>
      </c>
      <c r="D362" s="91" t="inlineStr">
        <is>
          <t>-&gt; named anchors</t>
        </is>
      </c>
      <c r="E362" s="91" t="inlineStr">
        <is>
          <t>formula reference drift</t>
        </is>
      </c>
    </row>
    <row r="363">
      <c r="A363" s="91" t="inlineStr">
        <is>
          <t>P3</t>
        </is>
      </c>
      <c r="B363" s="91" t="inlineStr">
        <is>
          <t>P40</t>
        </is>
      </c>
      <c r="C363" s="91" t="inlineStr">
        <is>
          <t>$W$6</t>
        </is>
      </c>
      <c r="D363" s="91" t="inlineStr">
        <is>
          <t>-&gt; named anchors</t>
        </is>
      </c>
      <c r="E363" s="91" t="inlineStr">
        <is>
          <t>formula reference drift</t>
        </is>
      </c>
    </row>
    <row r="364">
      <c r="A364" s="91" t="inlineStr">
        <is>
          <t>P3</t>
        </is>
      </c>
      <c r="B364" s="91" t="inlineStr">
        <is>
          <t>Q40</t>
        </is>
      </c>
      <c r="C364" s="91" t="inlineStr">
        <is>
          <t>$Y$11</t>
        </is>
      </c>
      <c r="D364" s="91" t="inlineStr">
        <is>
          <t>-&gt; named anchors</t>
        </is>
      </c>
      <c r="E364" s="91" t="inlineStr">
        <is>
          <t>formula reference drift</t>
        </is>
      </c>
    </row>
    <row r="365">
      <c r="A365" s="91" t="inlineStr">
        <is>
          <t>P3</t>
        </is>
      </c>
      <c r="B365" s="91" t="inlineStr">
        <is>
          <t>R40</t>
        </is>
      </c>
      <c r="C365" s="91" t="inlineStr">
        <is>
          <t>$W$6</t>
        </is>
      </c>
      <c r="D365" s="91" t="inlineStr">
        <is>
          <t>-&gt; named anchors</t>
        </is>
      </c>
      <c r="E365" s="91" t="inlineStr">
        <is>
          <t>formula reference drift</t>
        </is>
      </c>
    </row>
    <row r="366">
      <c r="A366" s="91" t="inlineStr">
        <is>
          <t>P3</t>
        </is>
      </c>
      <c r="B366" s="91" t="inlineStr">
        <is>
          <t>S40</t>
        </is>
      </c>
      <c r="C366" s="91" t="inlineStr">
        <is>
          <t>$Y$12</t>
        </is>
      </c>
      <c r="D366" s="91" t="inlineStr">
        <is>
          <t>-&gt; named anchors</t>
        </is>
      </c>
      <c r="E366" s="91" t="inlineStr">
        <is>
          <t>formula reference drift</t>
        </is>
      </c>
    </row>
    <row r="367">
      <c r="A367" s="91" t="inlineStr">
        <is>
          <t>P3</t>
        </is>
      </c>
      <c r="B367" s="91" t="inlineStr">
        <is>
          <t>T40</t>
        </is>
      </c>
      <c r="C367" s="91" t="inlineStr">
        <is>
          <t>$W$6</t>
        </is>
      </c>
      <c r="D367" s="91" t="inlineStr">
        <is>
          <t>-&gt; named anchors</t>
        </is>
      </c>
      <c r="E367" s="91" t="inlineStr">
        <is>
          <t>formula reference drift</t>
        </is>
      </c>
    </row>
    <row r="368">
      <c r="A368" s="91" t="inlineStr">
        <is>
          <t>P3</t>
        </is>
      </c>
      <c r="B368" s="91" t="inlineStr">
        <is>
          <t>K41</t>
        </is>
      </c>
      <c r="C368" s="91" t="inlineStr">
        <is>
          <t>$W$8</t>
        </is>
      </c>
      <c r="D368" s="91" t="inlineStr">
        <is>
          <t>-&gt; named anchors</t>
        </is>
      </c>
      <c r="E368" s="91" t="inlineStr">
        <is>
          <t>formula reference drift</t>
        </is>
      </c>
    </row>
    <row r="369">
      <c r="A369" s="91" t="inlineStr">
        <is>
          <t>P3</t>
        </is>
      </c>
      <c r="B369" s="91" t="inlineStr">
        <is>
          <t>L41</t>
        </is>
      </c>
      <c r="C369" s="91" t="inlineStr">
        <is>
          <t>$Y$11</t>
        </is>
      </c>
      <c r="D369" s="91" t="inlineStr">
        <is>
          <t>-&gt; named anchors</t>
        </is>
      </c>
      <c r="E369" s="91" t="inlineStr">
        <is>
          <t>formula reference drift</t>
        </is>
      </c>
    </row>
    <row r="370">
      <c r="A370" s="91" t="inlineStr">
        <is>
          <t>P3</t>
        </is>
      </c>
      <c r="B370" s="91" t="inlineStr">
        <is>
          <t>N41</t>
        </is>
      </c>
      <c r="C370" s="91" t="inlineStr">
        <is>
          <t>/135</t>
        </is>
      </c>
      <c r="D370" s="91" t="inlineStr">
        <is>
          <t>-&gt; named anchors</t>
        </is>
      </c>
      <c r="E370" s="91" t="inlineStr">
        <is>
          <t>formula reference drift</t>
        </is>
      </c>
    </row>
    <row r="371">
      <c r="A371" s="91" t="inlineStr">
        <is>
          <t>P3</t>
        </is>
      </c>
      <c r="B371" s="91" t="inlineStr">
        <is>
          <t>O41</t>
        </is>
      </c>
      <c r="C371" s="91" t="inlineStr">
        <is>
          <t>$Y$10</t>
        </is>
      </c>
      <c r="D371" s="91" t="inlineStr">
        <is>
          <t>-&gt; named anchors</t>
        </is>
      </c>
      <c r="E371" s="91" t="inlineStr">
        <is>
          <t>formula reference drift</t>
        </is>
      </c>
    </row>
    <row r="372">
      <c r="A372" s="91" t="inlineStr">
        <is>
          <t>P3</t>
        </is>
      </c>
      <c r="B372" s="91" t="inlineStr">
        <is>
          <t>P41</t>
        </is>
      </c>
      <c r="C372" s="91" t="inlineStr">
        <is>
          <t>$W$6</t>
        </is>
      </c>
      <c r="D372" s="91" t="inlineStr">
        <is>
          <t>-&gt; named anchors</t>
        </is>
      </c>
      <c r="E372" s="91" t="inlineStr">
        <is>
          <t>formula reference drift</t>
        </is>
      </c>
    </row>
    <row r="373">
      <c r="A373" s="91" t="inlineStr">
        <is>
          <t>P3</t>
        </is>
      </c>
      <c r="B373" s="91" t="inlineStr">
        <is>
          <t>Q41</t>
        </is>
      </c>
      <c r="C373" s="91" t="inlineStr">
        <is>
          <t>$Y$11</t>
        </is>
      </c>
      <c r="D373" s="91" t="inlineStr">
        <is>
          <t>-&gt; named anchors</t>
        </is>
      </c>
      <c r="E373" s="91" t="inlineStr">
        <is>
          <t>formula reference drift</t>
        </is>
      </c>
    </row>
    <row r="374">
      <c r="A374" s="91" t="inlineStr">
        <is>
          <t>P3</t>
        </is>
      </c>
      <c r="B374" s="91" t="inlineStr">
        <is>
          <t>R41</t>
        </is>
      </c>
      <c r="C374" s="91" t="inlineStr">
        <is>
          <t>$W$6</t>
        </is>
      </c>
      <c r="D374" s="91" t="inlineStr">
        <is>
          <t>-&gt; named anchors</t>
        </is>
      </c>
      <c r="E374" s="91" t="inlineStr">
        <is>
          <t>formula reference drift</t>
        </is>
      </c>
    </row>
    <row r="375">
      <c r="A375" s="91" t="inlineStr">
        <is>
          <t>P3</t>
        </is>
      </c>
      <c r="B375" s="91" t="inlineStr">
        <is>
          <t>S41</t>
        </is>
      </c>
      <c r="C375" s="91" t="inlineStr">
        <is>
          <t>$Y$12</t>
        </is>
      </c>
      <c r="D375" s="91" t="inlineStr">
        <is>
          <t>-&gt; named anchors</t>
        </is>
      </c>
      <c r="E375" s="91" t="inlineStr">
        <is>
          <t>formula reference drift</t>
        </is>
      </c>
    </row>
    <row r="376">
      <c r="A376" s="91" t="inlineStr">
        <is>
          <t>P3</t>
        </is>
      </c>
      <c r="B376" s="91" t="inlineStr">
        <is>
          <t>T41</t>
        </is>
      </c>
      <c r="C376" s="91" t="inlineStr">
        <is>
          <t>$W$6</t>
        </is>
      </c>
      <c r="D376" s="91" t="inlineStr">
        <is>
          <t>-&gt; named anchors</t>
        </is>
      </c>
      <c r="E376" s="91" t="inlineStr">
        <is>
          <t>formula reference drift</t>
        </is>
      </c>
    </row>
    <row r="377">
      <c r="A377" s="91" t="inlineStr">
        <is>
          <t>P3</t>
        </is>
      </c>
      <c r="B377" s="91" t="inlineStr">
        <is>
          <t>TOTAL</t>
        </is>
      </c>
      <c r="C377" s="91" t="inlineStr"/>
      <c r="D377" s="91" t="inlineStr"/>
      <c r="E377" s="91" t="inlineStr">
        <is>
          <t>440 data-row formulas rewritten from one canonical template</t>
        </is>
      </c>
    </row>
    <row r="378">
      <c r="A378" s="91" t="inlineStr">
        <is>
          <t>P4</t>
        </is>
      </c>
      <c r="B378" s="91" t="inlineStr">
        <is>
          <t>Table1 column template [Cost_KES]</t>
        </is>
      </c>
      <c r="C378" s="91" t="inlineStr">
        <is>
          <t>$W$6</t>
        </is>
      </c>
      <c r="D378" s="91" t="inlineStr">
        <is>
          <t>-&gt; named anchors</t>
        </is>
      </c>
      <c r="E378" s="91" t="inlineStr">
        <is>
          <t>master template was broken: every NEW row inherited it</t>
        </is>
      </c>
    </row>
    <row r="379">
      <c r="A379" s="91" t="inlineStr">
        <is>
          <t>P4</t>
        </is>
      </c>
      <c r="B379" s="91" t="inlineStr">
        <is>
          <t>Table1 column template [Retail_KES]</t>
        </is>
      </c>
      <c r="C379" s="91" t="inlineStr">
        <is>
          <t>$Y$9</t>
        </is>
      </c>
      <c r="D379" s="91" t="inlineStr">
        <is>
          <t>-&gt; named anchors</t>
        </is>
      </c>
      <c r="E379" s="91" t="inlineStr">
        <is>
          <t>master template was broken: every NEW row inherited it</t>
        </is>
      </c>
    </row>
    <row r="380">
      <c r="A380" s="91" t="inlineStr">
        <is>
          <t>P4</t>
        </is>
      </c>
      <c r="B380" s="91" t="inlineStr">
        <is>
          <t>Table1 column template [Pychological  Pricing]</t>
        </is>
      </c>
      <c r="C380" s="91" t="inlineStr">
        <is>
          <t>(none)</t>
        </is>
      </c>
      <c r="D380" s="91" t="inlineStr">
        <is>
          <t>-&gt; named anchors</t>
        </is>
      </c>
      <c r="E380" s="91" t="inlineStr">
        <is>
          <t>master template was broken: every NEW row inherited it</t>
        </is>
      </c>
    </row>
    <row r="381">
      <c r="A381" s="91" t="inlineStr">
        <is>
          <t>P4</t>
        </is>
      </c>
      <c r="B381" s="91" t="inlineStr">
        <is>
          <t>Table1 column template [Retail_USD]</t>
        </is>
      </c>
      <c r="C381" s="91" t="inlineStr">
        <is>
          <t>/135</t>
        </is>
      </c>
      <c r="D381" s="91" t="inlineStr">
        <is>
          <t>-&gt; named anchors</t>
        </is>
      </c>
      <c r="E381" s="91" t="inlineStr">
        <is>
          <t>master template was broken: every NEW row inherited it</t>
        </is>
      </c>
    </row>
    <row r="382">
      <c r="A382" s="91" t="inlineStr">
        <is>
          <t>P4</t>
        </is>
      </c>
      <c r="B382" s="91" t="inlineStr">
        <is>
          <t>Table1 column template [Wholesale_KES]</t>
        </is>
      </c>
      <c r="C382" s="91" t="inlineStr">
        <is>
          <t>$Y$10</t>
        </is>
      </c>
      <c r="D382" s="91" t="inlineStr">
        <is>
          <t>-&gt; named anchors</t>
        </is>
      </c>
      <c r="E382" s="91" t="inlineStr">
        <is>
          <t>master template was broken: every NEW row inherited it</t>
        </is>
      </c>
    </row>
    <row r="383">
      <c r="A383" s="91" t="inlineStr">
        <is>
          <t>P4</t>
        </is>
      </c>
      <c r="B383" s="91" t="inlineStr">
        <is>
          <t>Table1 column template [Wholesale_USD]</t>
        </is>
      </c>
      <c r="C383" s="91" t="inlineStr">
        <is>
          <t>$W$6</t>
        </is>
      </c>
      <c r="D383" s="91" t="inlineStr">
        <is>
          <t>-&gt; named anchors</t>
        </is>
      </c>
      <c r="E383" s="91" t="inlineStr">
        <is>
          <t>master template was broken: every NEW row inherited it</t>
        </is>
      </c>
    </row>
    <row r="384">
      <c r="A384" s="91" t="inlineStr">
        <is>
          <t>P4</t>
        </is>
      </c>
      <c r="B384" s="91" t="inlineStr">
        <is>
          <t>Table1 column template [Corporate_KES]</t>
        </is>
      </c>
      <c r="C384" s="91" t="inlineStr">
        <is>
          <t>$Y$11</t>
        </is>
      </c>
      <c r="D384" s="91" t="inlineStr">
        <is>
          <t>-&gt; named anchors</t>
        </is>
      </c>
      <c r="E384" s="91" t="inlineStr">
        <is>
          <t>master template was broken: every NEW row inherited it</t>
        </is>
      </c>
    </row>
    <row r="385">
      <c r="A385" s="91" t="inlineStr">
        <is>
          <t>P4</t>
        </is>
      </c>
      <c r="B385" s="91" t="inlineStr">
        <is>
          <t>Table1 column template [Corporate_USD]</t>
        </is>
      </c>
      <c r="C385" s="91" t="inlineStr">
        <is>
          <t>$W$6</t>
        </is>
      </c>
      <c r="D385" s="91" t="inlineStr">
        <is>
          <t>-&gt; named anchors</t>
        </is>
      </c>
      <c r="E385" s="91" t="inlineStr">
        <is>
          <t>master template was broken: every NEW row inherited it</t>
        </is>
      </c>
    </row>
    <row r="386">
      <c r="A386" s="91" t="inlineStr">
        <is>
          <t>P4</t>
        </is>
      </c>
      <c r="B386" s="91" t="inlineStr">
        <is>
          <t>Table1 column template [Influencer_KES]</t>
        </is>
      </c>
      <c r="C386" s="91" t="inlineStr">
        <is>
          <t>$Y$12</t>
        </is>
      </c>
      <c r="D386" s="91" t="inlineStr">
        <is>
          <t>-&gt; named anchors</t>
        </is>
      </c>
      <c r="E386" s="91" t="inlineStr">
        <is>
          <t>master template was broken: every NEW row inherited it</t>
        </is>
      </c>
    </row>
    <row r="387">
      <c r="A387" s="91" t="inlineStr">
        <is>
          <t>P4</t>
        </is>
      </c>
      <c r="B387" s="91" t="inlineStr">
        <is>
          <t>Table1 column template [Influencer_USD]</t>
        </is>
      </c>
      <c r="C387" s="91" t="inlineStr">
        <is>
          <t>$W$6</t>
        </is>
      </c>
      <c r="D387" s="91" t="inlineStr">
        <is>
          <t>-&gt; named anchors</t>
        </is>
      </c>
      <c r="E387" s="91" t="inlineStr">
        <is>
          <t>master template was broken: every NEW row inherited it</t>
        </is>
      </c>
    </row>
    <row r="388">
      <c r="A388" s="91" t="inlineStr">
        <is>
          <t>P4</t>
        </is>
      </c>
      <c r="B388" s="91" t="inlineStr">
        <is>
          <t>Table1 column template [REVENUE]</t>
        </is>
      </c>
      <c r="C388" s="91" t="inlineStr">
        <is>
          <t>(none)</t>
        </is>
      </c>
      <c r="D388" s="91" t="inlineStr">
        <is>
          <t>-&gt; named anchors</t>
        </is>
      </c>
      <c r="E388" s="91" t="inlineStr">
        <is>
          <t>master template was broken: every NEW row inherited it</t>
        </is>
      </c>
    </row>
    <row r="389">
      <c r="A389" s="91" t="inlineStr">
        <is>
          <t>P5</t>
        </is>
      </c>
      <c r="B389" s="91" t="inlineStr">
        <is>
          <t>Table1.ref</t>
        </is>
      </c>
      <c r="C389" s="91" t="inlineStr">
        <is>
          <t>A1:V42</t>
        </is>
      </c>
      <c r="D389" s="91" t="inlineStr">
        <is>
          <t>A1:V41</t>
        </is>
      </c>
      <c r="E389" s="91" t="inlineStr">
        <is>
          <t>"Total" was a DATA ROW inside the product table and was being priced as if it were a product</t>
        </is>
      </c>
    </row>
    <row r="390">
      <c r="A390" s="91" t="inlineStr">
        <is>
          <t>P5</t>
        </is>
      </c>
      <c r="B390" s="91" t="inlineStr">
        <is>
          <t>I42</t>
        </is>
      </c>
      <c r="C390" s="91">
        <f>SUM(I2:I40)</f>
        <v/>
      </c>
      <c r="D390" s="91">
        <f>SUM(I2:I41)</f>
        <v/>
      </c>
      <c r="E390" s="91" t="inlineStr">
        <is>
          <t>production-cost total omitted row 41</t>
        </is>
      </c>
    </row>
    <row r="391">
      <c r="A391" s="91" t="inlineStr">
        <is>
          <t>P5</t>
        </is>
      </c>
      <c r="B391" s="91" t="inlineStr">
        <is>
          <t>J42</t>
        </is>
      </c>
      <c r="C391" s="91">
        <f>SUM(J2:J34)</f>
        <v/>
      </c>
      <c r="D391" s="91">
        <f>SUM(J2:J41)</f>
        <v/>
      </c>
      <c r="E391" s="91" t="inlineStr">
        <is>
          <t>landing-cost total omitted rows 35-41 (7 SKUs)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8" customWidth="1" min="1" max="1"/>
    <col width="30" customWidth="1" min="2" max="2"/>
    <col width="18" customWidth="1" min="3" max="3"/>
    <col width="18" customWidth="1" min="4" max="4"/>
    <col width="20" customWidth="1" min="5" max="5"/>
    <col width="64" customWidth="1" min="6" max="6"/>
  </cols>
  <sheetData>
    <row r="1">
      <c r="A1" s="89" t="inlineStr">
        <is>
          <t>Root cause: the parameter block sits 2 rows BELOW where every pricing formula points</t>
        </is>
      </c>
    </row>
    <row r="2">
      <c r="A2" s="91" t="inlineStr">
        <is>
          <t>One defect, two symptoms: cells that point at an EMPTY cell throw an error (loud); cells that point at the WRONG LIVE NUMBER return a plausible but wrong price (silent). The silent half is the expensive half.</t>
        </is>
      </c>
    </row>
    <row r="4">
      <c r="A4" s="90" t="inlineStr">
        <is>
          <t>No.</t>
        </is>
      </c>
      <c r="B4" s="90" t="inlineStr">
        <is>
          <t>FORMULA POINTED AT</t>
        </is>
      </c>
      <c r="C4" s="90" t="inlineStr">
        <is>
          <t>THAT CELL HELD</t>
        </is>
      </c>
      <c r="D4" s="90" t="inlineStr">
        <is>
          <t>SHOULD BE</t>
        </is>
      </c>
      <c r="E4" s="90" t="inlineStr">
        <is>
          <t>WHICH HOLDS</t>
        </is>
      </c>
      <c r="F4" s="90" t="inlineStr">
        <is>
          <t>RESULT</t>
        </is>
      </c>
    </row>
    <row r="5">
      <c r="A5" s="91" t="n">
        <v>1</v>
      </c>
      <c r="B5" s="91" t="inlineStr">
        <is>
          <t>$W$6  (forex)</t>
        </is>
      </c>
      <c r="C5" s="91" t="inlineStr">
        <is>
          <t>(empty)</t>
        </is>
      </c>
      <c r="D5" s="91" t="inlineStr">
        <is>
          <t>$W$8</t>
        </is>
      </c>
      <c r="E5" s="91" t="inlineStr">
        <is>
          <t>135</t>
        </is>
      </c>
      <c r="F5" s="91" t="inlineStr">
        <is>
          <t>DIV/0 error in Wholesale_USD / Corporate_USD / Influencer_USD - 22 cells</t>
        </is>
      </c>
    </row>
    <row r="6">
      <c r="A6" s="91" t="n">
        <v>2</v>
      </c>
      <c r="B6" s="91" t="inlineStr">
        <is>
          <t>$Y$9   (retail multiplier)</t>
        </is>
      </c>
      <c r="C6" s="91" t="inlineStr">
        <is>
          <t>(empty)</t>
        </is>
      </c>
      <c r="D6" s="91" t="inlineStr">
        <is>
          <t>$Y$11</t>
        </is>
      </c>
      <c r="E6" s="91" t="inlineStr">
        <is>
          <t>1.6</t>
        </is>
      </c>
      <c r="F6" s="91" t="inlineStr">
        <is>
          <t>Retail_KES = 0 on rows 20, 32, 33</t>
        </is>
      </c>
    </row>
    <row r="7">
      <c r="A7" s="91" t="n">
        <v>3</v>
      </c>
      <c r="B7" s="91" t="inlineStr">
        <is>
          <t>$Y$10 (wholesale rate)</t>
        </is>
      </c>
      <c r="C7" s="91" t="inlineStr">
        <is>
          <t>"Core Product Discounts" (text)</t>
        </is>
      </c>
      <c r="D7" s="91" t="inlineStr">
        <is>
          <t>$Y$12</t>
        </is>
      </c>
      <c r="E7" s="91" t="inlineStr">
        <is>
          <t>0.8</t>
        </is>
      </c>
      <c r="F7" s="91" t="inlineStr">
        <is>
          <t>VALUE error in Wholesale_KES / Wholesale_USD - 24 cells</t>
        </is>
      </c>
    </row>
    <row r="8">
      <c r="A8" s="91" t="n">
        <v>4</v>
      </c>
      <c r="B8" s="91" t="inlineStr">
        <is>
          <t>$Y$11 (used as CORPORATE rate)</t>
        </is>
      </c>
      <c r="C8" s="91" t="inlineStr">
        <is>
          <t>1.6  — the RETAIL multiplier</t>
        </is>
      </c>
      <c r="D8" s="91" t="inlineStr">
        <is>
          <t>$Y$13</t>
        </is>
      </c>
      <c r="E8" s="91" t="inlineStr">
        <is>
          <t>0.85</t>
        </is>
      </c>
      <c r="F8" s="91" t="inlineStr">
        <is>
          <t>SILENT: corporate price = retail x 1.6, i.e. 60-64% ABOVE retail. 8 SKUs.</t>
        </is>
      </c>
    </row>
    <row r="9">
      <c r="A9" s="91" t="n">
        <v>5</v>
      </c>
      <c r="B9" s="91" t="inlineStr">
        <is>
          <t>$Y$12 (used as INFLUENCER rate)</t>
        </is>
      </c>
      <c r="C9" s="91" t="inlineStr">
        <is>
          <t>0.8 — the WHOLESALE rate</t>
        </is>
      </c>
      <c r="D9" s="91" t="inlineStr">
        <is>
          <t>$Y$14</t>
        </is>
      </c>
      <c r="E9" s="91" t="inlineStr">
        <is>
          <t>0.9</t>
        </is>
      </c>
      <c r="F9" s="91" t="inlineStr">
        <is>
          <t>SILENT: influencer discounted 20% instead of 10%. 8 SKUs.</t>
        </is>
      </c>
    </row>
    <row r="10">
      <c r="A10" s="91" t="n">
        <v>6</v>
      </c>
      <c r="B10" s="91" t="inlineStr">
        <is>
          <t>/135 hard-typed in Retail_USD</t>
        </is>
      </c>
      <c r="C10" s="91" t="inlineStr">
        <is>
          <t>literal</t>
        </is>
      </c>
      <c r="D10" s="91" t="inlineStr">
        <is>
          <t>FX_USD_KES</t>
        </is>
      </c>
      <c r="E10" s="91" t="inlineStr">
        <is>
          <t>135</t>
        </is>
      </c>
      <c r="F10" s="91" t="inlineStr">
        <is>
          <t>forex change silently ignored in one column only</t>
        </is>
      </c>
    </row>
    <row r="11">
      <c r="A11" s="91" t="n">
        <v>7</v>
      </c>
      <c r="B11" s="91" t="inlineStr">
        <is>
          <t>P2 contained the formula W8/W8 (Wholesale_USD)</t>
        </is>
      </c>
      <c r="C11" s="91" t="inlineStr">
        <is>
          <t>self-division</t>
        </is>
      </c>
      <c r="D11" s="91" t="inlineStr">
        <is>
          <t>FX_USD_KES</t>
        </is>
      </c>
      <c r="E11" s="91" t="inlineStr">
        <is>
          <t>135</t>
        </is>
      </c>
      <c r="F11" s="91" t="inlineStr">
        <is>
          <t>returned literally 1.00 USD</t>
        </is>
      </c>
    </row>
    <row r="12">
      <c r="A12" s="91" t="n">
        <v>8</v>
      </c>
      <c r="B12" s="91" t="inlineStr">
        <is>
          <t>Y11 and Z11 stored as TEXT "1.6" / "1.45"</t>
        </is>
      </c>
      <c r="C12" s="91" t="inlineStr">
        <is>
          <t>text</t>
        </is>
      </c>
      <c r="D12" s="91" t="inlineStr">
        <is>
          <t>number</t>
        </is>
      </c>
      <c r="E12" s="91" t="inlineStr">
        <is>
          <t>1.6 / 1.45</t>
        </is>
      </c>
      <c r="F12" s="91" t="inlineStr">
        <is>
          <t>coerces under * but fails under SUMPRODUCT/XLOOKUP — latent</t>
        </is>
      </c>
    </row>
    <row r="13">
      <c r="A13" s="91" t="n">
        <v>9</v>
      </c>
      <c r="B13" s="91" t="inlineStr">
        <is>
          <t>rows 2-3 used UNANCHORED W8/Y11..Y14</t>
        </is>
      </c>
      <c r="C13" s="91" t="inlineStr">
        <is>
          <t>relative</t>
        </is>
      </c>
      <c r="D13" s="91" t="inlineStr">
        <is>
          <t>absolute</t>
        </is>
      </c>
      <c r="E13" s="91" t="inlineStr">
        <is>
          <t>—</t>
        </is>
      </c>
      <c r="F13" s="91" t="inlineStr">
        <is>
          <t>any fill-down re-drifts the whole ladder</t>
        </is>
      </c>
    </row>
    <row r="15">
      <c r="B15" s="92" t="inlineStr">
        <is>
          <t>PROPAGATING DEFECT — the most important line on this sheet</t>
        </is>
      </c>
    </row>
    <row r="16" ht="60" customHeight="1">
      <c r="B16" s="91" t="inlineStr">
        <is>
          <t>Table1's own column templates (calculatedColumnFormula) carried the drifted references. Excel applies that template to EVERY new row. So the file was not merely damaged — it was manufacturing the damage. Any SKU added tomorrow would have inherited #VALUE!, #DIV/0! and the inverted corporate price. All 11 templates have been rewritten.</t>
        </is>
      </c>
    </row>
  </sheetData>
  <mergeCells count="1">
    <mergeCell ref="B16:F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3"/>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26" customWidth="1" min="3" max="3"/>
    <col width="13" customWidth="1" min="4" max="4"/>
    <col width="13" customWidth="1" min="5" max="5"/>
    <col width="12" customWidth="1" min="6" max="6"/>
    <col width="12" customWidth="1" min="7" max="7"/>
    <col width="12" customWidth="1" min="8" max="8"/>
    <col width="12" customWidth="1" min="9" max="9"/>
    <col width="14" customWidth="1" min="10" max="10"/>
    <col width="44" customWidth="1" min="11" max="11"/>
  </cols>
  <sheetData>
    <row r="1">
      <c r="A1" s="89" t="inlineStr">
        <is>
          <t>R4 hard floor — VAT-inclusive.  Floor = Cost_KES x 1.35 x 1.16 = Cost_KES x 1.5660</t>
        </is>
      </c>
    </row>
    <row r="2">
      <c r="A2" s="91" t="inlineStr">
        <is>
          <t>Cost base = "Landing Cost" (USD) x 135 as carried in this file. Retail multiplier is 1.600, so headroom above the floor is 1.600/1.566 = 2.13%. Any discount deeper than 2.13% breaches by arithmetic, before any judgement is applied.</t>
        </is>
      </c>
    </row>
    <row r="4">
      <c r="A4" s="90" t="inlineStr">
        <is>
          <t>ROW</t>
        </is>
      </c>
      <c r="B4" s="90" t="inlineStr">
        <is>
          <t>SKU</t>
        </is>
      </c>
      <c r="C4" s="90" t="inlineStr">
        <is>
          <t>MODEL</t>
        </is>
      </c>
      <c r="D4" s="90" t="inlineStr">
        <is>
          <t>Cost_KES</t>
        </is>
      </c>
      <c r="E4" s="90" t="inlineStr">
        <is>
          <t>FLOOR</t>
        </is>
      </c>
      <c r="F4" s="90" t="inlineStr">
        <is>
          <t>RETAIL</t>
        </is>
      </c>
      <c r="G4" s="90" t="inlineStr">
        <is>
          <t>WHSL</t>
        </is>
      </c>
      <c r="H4" s="90" t="inlineStr">
        <is>
          <t>CORP</t>
        </is>
      </c>
      <c r="I4" s="90" t="inlineStr">
        <is>
          <t>INFL</t>
        </is>
      </c>
      <c r="J4" s="90" t="inlineStr">
        <is>
          <t>MAX DISCOUNT</t>
        </is>
      </c>
      <c r="K4" s="90" t="inlineStr">
        <is>
          <t>VERDICT</t>
        </is>
      </c>
    </row>
    <row r="5">
      <c r="A5" s="91" t="n">
        <v>2</v>
      </c>
      <c r="B5" s="91" t="inlineStr">
        <is>
          <t>UC-HOU-PHRO-001</t>
        </is>
      </c>
      <c r="C5" s="91" t="inlineStr">
        <is>
          <t xml:space="preserve">Pure Home </t>
        </is>
      </c>
      <c r="D5" s="91" t="n">
        <v>18900</v>
      </c>
      <c r="E5" s="91" t="n">
        <v>29597.4</v>
      </c>
      <c r="F5" s="91" t="n">
        <v>30990</v>
      </c>
      <c r="G5" s="91" t="n">
        <v>24990</v>
      </c>
      <c r="H5" s="91" t="n">
        <v>25990</v>
      </c>
      <c r="I5" s="91" t="n">
        <v>27990</v>
      </c>
      <c r="J5" s="93" t="n">
        <v>0.0449</v>
      </c>
      <c r="K5" s="94" t="inlineStr">
        <is>
          <t>BREACH: Whsl, Corp, Infl</t>
        </is>
      </c>
    </row>
    <row r="6">
      <c r="A6" s="91" t="n">
        <v>3</v>
      </c>
      <c r="B6" s="91" t="inlineStr">
        <is>
          <t>UC-HOU-URO-001</t>
        </is>
      </c>
      <c r="C6" s="91" t="inlineStr">
        <is>
          <t>Ultra Pure</t>
        </is>
      </c>
      <c r="D6" s="91" t="n">
        <v>8100</v>
      </c>
      <c r="E6" s="91" t="n">
        <v>12684.6</v>
      </c>
      <c r="F6" s="91" t="n">
        <v>12990</v>
      </c>
      <c r="G6" s="91" t="n">
        <v>10990</v>
      </c>
      <c r="H6" s="91" t="n">
        <v>11990</v>
      </c>
      <c r="I6" s="91" t="n">
        <v>11990</v>
      </c>
      <c r="J6" s="93" t="n">
        <v>0.0235</v>
      </c>
      <c r="K6" s="94" t="inlineStr">
        <is>
          <t>BREACH: Whsl, Corp, Infl</t>
        </is>
      </c>
    </row>
    <row r="7">
      <c r="A7" s="91" t="n">
        <v>4</v>
      </c>
      <c r="B7" s="91" t="inlineStr">
        <is>
          <t>UC-HOU-URO-002</t>
        </is>
      </c>
      <c r="C7" s="91" t="inlineStr">
        <is>
          <t>Ultra Pure 2</t>
        </is>
      </c>
      <c r="D7" s="91" t="n">
        <v>8775</v>
      </c>
      <c r="E7" s="91" t="n">
        <v>13741.65</v>
      </c>
      <c r="F7" s="91" t="n">
        <v>14990</v>
      </c>
      <c r="G7" s="91" t="n">
        <v>11990</v>
      </c>
      <c r="H7" s="91" t="n">
        <v>11990</v>
      </c>
      <c r="I7" s="91" t="n">
        <v>12990</v>
      </c>
      <c r="J7" s="93" t="n">
        <v>0.0833</v>
      </c>
      <c r="K7" s="94" t="inlineStr">
        <is>
          <t>BREACH: Whsl, Corp, Infl</t>
        </is>
      </c>
    </row>
    <row r="8">
      <c r="A8" s="91" t="n">
        <v>5</v>
      </c>
      <c r="B8" s="91" t="inlineStr">
        <is>
          <t>UC-HOU-ROS-001</t>
        </is>
      </c>
      <c r="C8" s="91" t="inlineStr">
        <is>
          <t>Pure Blue</t>
        </is>
      </c>
      <c r="D8" s="91" t="n">
        <v>13732.2</v>
      </c>
      <c r="E8" s="91" t="n">
        <v>21504.63</v>
      </c>
      <c r="F8" s="91" t="n">
        <v>21990</v>
      </c>
      <c r="G8" s="91" t="n">
        <v>17990</v>
      </c>
      <c r="H8" s="91" t="n">
        <v>18990</v>
      </c>
      <c r="I8" s="91" t="n">
        <v>19990</v>
      </c>
      <c r="J8" s="93" t="n">
        <v>0.0221</v>
      </c>
      <c r="K8" s="94" t="inlineStr">
        <is>
          <t>BREACH: Whsl, Corp, Infl</t>
        </is>
      </c>
    </row>
    <row r="9">
      <c r="A9" s="91" t="n">
        <v>6</v>
      </c>
      <c r="B9" s="91" t="inlineStr">
        <is>
          <t>UC-HOU-ROS-002</t>
        </is>
      </c>
      <c r="C9" s="91" t="inlineStr">
        <is>
          <t>Aqua Stream 1200D</t>
        </is>
      </c>
      <c r="D9" s="91" t="n">
        <v>33750</v>
      </c>
      <c r="E9" s="91" t="n">
        <v>52852.5</v>
      </c>
      <c r="F9" s="91" t="n">
        <v>53990</v>
      </c>
      <c r="G9" s="91" t="n">
        <v>43990</v>
      </c>
      <c r="H9" s="91" t="n">
        <v>45990</v>
      </c>
      <c r="I9" s="91" t="n">
        <v>48990</v>
      </c>
      <c r="J9" s="93" t="n">
        <v>0.0211</v>
      </c>
      <c r="K9" s="94" t="inlineStr">
        <is>
          <t>BREACH: Whsl, Corp, Infl</t>
        </is>
      </c>
    </row>
    <row r="10">
      <c r="A10" s="91" t="n">
        <v>7</v>
      </c>
      <c r="B10" s="91" t="inlineStr">
        <is>
          <t>UC-HOU-WPF-003</t>
        </is>
      </c>
      <c r="C10" s="91" t="inlineStr">
        <is>
          <t>Pure Shield</t>
        </is>
      </c>
      <c r="D10" s="91" t="n">
        <v>7425</v>
      </c>
      <c r="E10" s="91" t="n">
        <v>11627.55</v>
      </c>
      <c r="F10" s="91" t="n">
        <v>11990</v>
      </c>
      <c r="G10" s="91" t="n">
        <v>9990</v>
      </c>
      <c r="H10" s="91" t="n">
        <v>10990</v>
      </c>
      <c r="I10" s="91" t="n">
        <v>10990</v>
      </c>
      <c r="J10" s="93" t="n">
        <v>0.0302</v>
      </c>
      <c r="K10" s="94" t="inlineStr">
        <is>
          <t>BREACH: Whsl, Corp, Infl</t>
        </is>
      </c>
    </row>
    <row r="11">
      <c r="A11" s="91" t="n">
        <v>8</v>
      </c>
      <c r="B11" s="91" t="inlineStr">
        <is>
          <t>UC-HOU-USF-004</t>
        </is>
      </c>
      <c r="C11" s="91" t="inlineStr">
        <is>
          <t>Aqua Drop</t>
        </is>
      </c>
      <c r="D11" s="91" t="n">
        <v>6793.2</v>
      </c>
      <c r="E11" s="91" t="n">
        <v>10638.15</v>
      </c>
      <c r="F11" s="91" t="n">
        <v>10990</v>
      </c>
      <c r="G11" s="91" t="n">
        <v>8990</v>
      </c>
      <c r="H11" s="91" t="n">
        <v>9990</v>
      </c>
      <c r="I11" s="91" t="n">
        <v>9990</v>
      </c>
      <c r="J11" s="93" t="n">
        <v>0.032</v>
      </c>
      <c r="K11" s="94" t="inlineStr">
        <is>
          <t>BREACH: Whsl, Corp, Infl</t>
        </is>
      </c>
    </row>
    <row r="12">
      <c r="A12" s="91" t="n">
        <v>9</v>
      </c>
      <c r="B12" s="91" t="inlineStr">
        <is>
          <t>UC-HOU-TAP-005</t>
        </is>
      </c>
      <c r="C12" s="91" t="inlineStr">
        <is>
          <t>Home sweet Home Filter set</t>
        </is>
      </c>
      <c r="D12" s="91" t="n">
        <v>1620</v>
      </c>
      <c r="E12" s="91" t="n">
        <v>2536.92</v>
      </c>
      <c r="F12" s="91" t="n">
        <v>2599.99</v>
      </c>
      <c r="G12" s="91" t="n">
        <v>2079.99</v>
      </c>
      <c r="H12" s="91" t="n">
        <v>2209.99</v>
      </c>
      <c r="I12" s="91" t="n">
        <v>2339.99</v>
      </c>
      <c r="J12" s="93" t="n">
        <v>0.0243</v>
      </c>
      <c r="K12" s="94" t="inlineStr">
        <is>
          <t>BREACH: Whsl, Corp, Infl</t>
        </is>
      </c>
    </row>
    <row r="13">
      <c r="A13" s="91" t="n">
        <v>10</v>
      </c>
      <c r="B13" s="91" t="inlineStr">
        <is>
          <t>UC-HOU-TAPF-006</t>
        </is>
      </c>
      <c r="C13" s="91" t="inlineStr">
        <is>
          <t>Home sweet Home Filter</t>
        </is>
      </c>
      <c r="D13" s="91" t="n">
        <v>742.5</v>
      </c>
      <c r="E13" s="91" t="n">
        <v>1162.76</v>
      </c>
      <c r="F13" s="91" t="n">
        <v>1189.99</v>
      </c>
      <c r="G13" s="91" t="n">
        <v>959.99</v>
      </c>
      <c r="H13" s="91" t="n">
        <v>1009.99</v>
      </c>
      <c r="I13" s="91" t="n">
        <v>1069.99</v>
      </c>
      <c r="J13" s="93" t="n">
        <v>0.0229</v>
      </c>
      <c r="K13" s="94" t="inlineStr">
        <is>
          <t>BREACH: Whsl, Corp, Infl</t>
        </is>
      </c>
    </row>
    <row r="14">
      <c r="A14" s="91" t="n">
        <v>11</v>
      </c>
      <c r="B14" s="91" t="inlineStr">
        <is>
          <t>UC-HOU-WDFS-006</t>
        </is>
      </c>
      <c r="C14" s="91" t="inlineStr">
        <is>
          <t>Wireless Dispenser Filter Set</t>
        </is>
      </c>
      <c r="D14" s="91" t="n">
        <v>1620</v>
      </c>
      <c r="E14" s="91" t="n">
        <v>2536.92</v>
      </c>
      <c r="F14" s="91" t="n">
        <v>2599.99</v>
      </c>
      <c r="G14" s="91" t="n">
        <v>2079.99</v>
      </c>
      <c r="H14" s="91" t="n">
        <v>2209.99</v>
      </c>
      <c r="I14" s="91" t="n">
        <v>2339.99</v>
      </c>
      <c r="J14" s="93" t="n">
        <v>0.0243</v>
      </c>
      <c r="K14" s="94" t="inlineStr">
        <is>
          <t>BREACH: Whsl, Corp, Infl</t>
        </is>
      </c>
    </row>
    <row r="15">
      <c r="A15" s="91" t="n">
        <v>12</v>
      </c>
      <c r="B15" s="91" t="inlineStr">
        <is>
          <t>UC-HOU-DF-007</t>
        </is>
      </c>
      <c r="C15" s="91" t="inlineStr">
        <is>
          <t>Dispenser Filter</t>
        </is>
      </c>
      <c r="D15" s="91" t="n">
        <v>945</v>
      </c>
      <c r="E15" s="91" t="n">
        <v>1479.87</v>
      </c>
      <c r="F15" s="91" t="n">
        <v>1519.99</v>
      </c>
      <c r="G15" s="91" t="n">
        <v>1209.99</v>
      </c>
      <c r="H15" s="91" t="n">
        <v>1289.99</v>
      </c>
      <c r="I15" s="91" t="n">
        <v>1369.99</v>
      </c>
      <c r="J15" s="93" t="n">
        <v>0.0264</v>
      </c>
      <c r="K15" s="94" t="inlineStr">
        <is>
          <t>BREACH: Whsl, Corp, Infl</t>
        </is>
      </c>
    </row>
    <row r="16">
      <c r="A16" s="91" t="n">
        <v>13</v>
      </c>
      <c r="B16" s="91" t="inlineStr">
        <is>
          <t>UC-BOG-SSB-008</t>
        </is>
      </c>
      <c r="C16" s="91" t="inlineStr">
        <is>
          <t>Hydra Flux</t>
        </is>
      </c>
      <c r="D16" s="91" t="n">
        <v>2160</v>
      </c>
      <c r="E16" s="91" t="n">
        <v>3382.56</v>
      </c>
      <c r="F16" s="91" t="n">
        <v>3499</v>
      </c>
      <c r="G16" s="91" t="n">
        <v>2799</v>
      </c>
      <c r="H16" s="91" t="n">
        <v>2999</v>
      </c>
      <c r="I16" s="91" t="n">
        <v>3199</v>
      </c>
      <c r="J16" s="93" t="n">
        <v>0.0333</v>
      </c>
      <c r="K16" s="94" t="inlineStr">
        <is>
          <t>BREACH: Whsl, Corp, Infl</t>
        </is>
      </c>
    </row>
    <row r="17">
      <c r="A17" s="91" t="n">
        <v>14</v>
      </c>
      <c r="B17" s="91" t="inlineStr">
        <is>
          <t>UC-BOG-TRB-009</t>
        </is>
      </c>
      <c r="C17" s="91" t="inlineStr">
        <is>
          <t>Truva Go</t>
        </is>
      </c>
      <c r="D17" s="91" t="n">
        <v>1552.5</v>
      </c>
      <c r="E17" s="91" t="n">
        <v>2431.22</v>
      </c>
      <c r="F17" s="91" t="n">
        <v>2489.99</v>
      </c>
      <c r="G17" s="91" t="n">
        <v>1989.99</v>
      </c>
      <c r="H17" s="91" t="n">
        <v>2119.99</v>
      </c>
      <c r="I17" s="91" t="n">
        <v>2239.99</v>
      </c>
      <c r="J17" s="93" t="n">
        <v>0.0236</v>
      </c>
      <c r="K17" s="94" t="inlineStr">
        <is>
          <t>BREACH: Whsl, Corp, Infl</t>
        </is>
      </c>
    </row>
    <row r="18">
      <c r="A18" s="91" t="n">
        <v>15</v>
      </c>
      <c r="B18" s="91" t="inlineStr">
        <is>
          <t>UC-BOG-TRB-010</t>
        </is>
      </c>
      <c r="C18" s="91" t="inlineStr">
        <is>
          <t>Viva Drop</t>
        </is>
      </c>
      <c r="D18" s="91" t="n">
        <v>1147.5</v>
      </c>
      <c r="E18" s="91" t="n">
        <v>1796.99</v>
      </c>
      <c r="F18" s="91" t="n">
        <v>1839.99</v>
      </c>
      <c r="G18" s="91" t="n">
        <v>1469.99</v>
      </c>
      <c r="H18" s="91" t="n">
        <v>1569.99</v>
      </c>
      <c r="I18" s="91" t="n">
        <v>1659.99</v>
      </c>
      <c r="J18" s="93" t="n">
        <v>0.0234</v>
      </c>
      <c r="K18" s="94" t="inlineStr">
        <is>
          <t>BREACH: Whsl, Corp, Infl</t>
        </is>
      </c>
    </row>
    <row r="19">
      <c r="A19" s="91" t="n">
        <v>16</v>
      </c>
      <c r="B19" s="91" t="inlineStr">
        <is>
          <t>UC-BOG-TRB-011</t>
        </is>
      </c>
      <c r="C19" s="91" t="inlineStr">
        <is>
          <t>Gym Buddy</t>
        </is>
      </c>
      <c r="D19" s="91" t="n">
        <v>1755</v>
      </c>
      <c r="E19" s="91" t="n">
        <v>2748.33</v>
      </c>
      <c r="F19" s="91" t="n">
        <v>2809.99</v>
      </c>
      <c r="G19" s="91" t="n">
        <v>2249.99</v>
      </c>
      <c r="H19" s="91" t="n">
        <v>2389.99</v>
      </c>
      <c r="I19" s="91" t="n">
        <v>2529.99</v>
      </c>
      <c r="J19" s="93" t="n">
        <v>0.0219</v>
      </c>
      <c r="K19" s="94" t="inlineStr">
        <is>
          <t>BREACH: Whsl, Corp, Infl</t>
        </is>
      </c>
    </row>
    <row r="20">
      <c r="A20" s="91" t="n">
        <v>17</v>
      </c>
      <c r="B20" s="91" t="inlineStr">
        <is>
          <t>UC-BOG-FLB-012</t>
        </is>
      </c>
      <c r="C20" s="91" t="inlineStr">
        <is>
          <t>Timbo</t>
        </is>
      </c>
      <c r="D20" s="91" t="n">
        <v>675</v>
      </c>
      <c r="E20" s="91" t="n">
        <v>1057.05</v>
      </c>
      <c r="F20" s="91" t="n">
        <v>1079.99</v>
      </c>
      <c r="G20" s="91" t="n">
        <v>869.99</v>
      </c>
      <c r="H20" s="91" t="n">
        <v>919.99</v>
      </c>
      <c r="I20" s="91" t="n">
        <v>979.99</v>
      </c>
      <c r="J20" s="93" t="n">
        <v>0.0212</v>
      </c>
      <c r="K20" s="94" t="inlineStr">
        <is>
          <t>BREACH: Whsl, Corp, Infl</t>
        </is>
      </c>
    </row>
    <row r="21">
      <c r="A21" s="91" t="n">
        <v>18</v>
      </c>
      <c r="B21" s="91" t="inlineStr">
        <is>
          <t>UC-BOG-SQB-013</t>
        </is>
      </c>
      <c r="C21" s="91" t="inlineStr">
        <is>
          <t>Breeze</t>
        </is>
      </c>
      <c r="D21" s="91" t="n">
        <v>810</v>
      </c>
      <c r="E21" s="91" t="n">
        <v>1268.46</v>
      </c>
      <c r="F21" s="91" t="n">
        <v>1299.99</v>
      </c>
      <c r="G21" s="91" t="n">
        <v>1039.99</v>
      </c>
      <c r="H21" s="91" t="n">
        <v>1109.99</v>
      </c>
      <c r="I21" s="91" t="n">
        <v>1169.99</v>
      </c>
      <c r="J21" s="93" t="n">
        <v>0.0243</v>
      </c>
      <c r="K21" s="94" t="inlineStr">
        <is>
          <t>BREACH: Whsl, Corp, Infl</t>
        </is>
      </c>
    </row>
    <row r="22">
      <c r="A22" s="91" t="n">
        <v>19</v>
      </c>
      <c r="B22" s="91" t="inlineStr">
        <is>
          <t>UC-BOG-SQB-014</t>
        </is>
      </c>
      <c r="C22" s="91" t="inlineStr">
        <is>
          <t>Flex</t>
        </is>
      </c>
      <c r="D22" s="91" t="n">
        <v>938.25</v>
      </c>
      <c r="E22" s="91" t="n">
        <v>1469.3</v>
      </c>
      <c r="F22" s="91" t="n">
        <v>1509.99</v>
      </c>
      <c r="G22" s="91" t="n">
        <v>1209.99</v>
      </c>
      <c r="H22" s="91" t="n">
        <v>1279.99</v>
      </c>
      <c r="I22" s="91" t="n">
        <v>1359.99</v>
      </c>
      <c r="J22" s="93" t="n">
        <v>0.0269</v>
      </c>
      <c r="K22" s="94" t="inlineStr">
        <is>
          <t>BREACH: Whsl, Corp, Infl</t>
        </is>
      </c>
    </row>
    <row r="23">
      <c r="A23" s="91" t="n">
        <v>20</v>
      </c>
      <c r="B23" s="91" t="inlineStr">
        <is>
          <t>UC-BOG-UF-100</t>
        </is>
      </c>
      <c r="C23" s="91" t="inlineStr">
        <is>
          <t>Ultra Fold</t>
        </is>
      </c>
      <c r="D23" s="91" t="inlineStr">
        <is>
          <t>(no cost)</t>
        </is>
      </c>
      <c r="E23" s="91" t="inlineStr"/>
      <c r="F23" s="91" t="inlineStr"/>
      <c r="G23" s="91" t="inlineStr"/>
      <c r="H23" s="91" t="inlineStr"/>
      <c r="I23" s="91" t="inlineStr"/>
      <c r="J23" s="91" t="inlineStr"/>
      <c r="K23" s="95" t="inlineStr">
        <is>
          <t>NO COST ROW — cannot be gated. Blocks publish.</t>
        </is>
      </c>
    </row>
    <row r="24">
      <c r="A24" s="91" t="n">
        <v>21</v>
      </c>
      <c r="B24" s="91" t="inlineStr">
        <is>
          <t>UC-BOG-FCA-015</t>
        </is>
      </c>
      <c r="C24" s="91" t="inlineStr">
        <is>
          <t>Filter Squeeze Ahlstrom</t>
        </is>
      </c>
      <c r="D24" s="91" t="n">
        <v>540</v>
      </c>
      <c r="E24" s="91" t="n">
        <v>845.64</v>
      </c>
      <c r="F24" s="91" t="n">
        <v>869.99</v>
      </c>
      <c r="G24" s="91" t="n">
        <v>699.99</v>
      </c>
      <c r="H24" s="91" t="n">
        <v>739.99</v>
      </c>
      <c r="I24" s="91" t="n">
        <v>779.99</v>
      </c>
      <c r="J24" s="93" t="n">
        <v>0.028</v>
      </c>
      <c r="K24" s="94" t="inlineStr">
        <is>
          <t>BREACH: Whsl, Corp, Infl</t>
        </is>
      </c>
    </row>
    <row r="25">
      <c r="A25" s="91" t="n">
        <v>22</v>
      </c>
      <c r="B25" s="91" t="inlineStr">
        <is>
          <t>UC-BOG-FCA-015</t>
        </is>
      </c>
      <c r="C25" s="91" t="inlineStr">
        <is>
          <t>Filter Squeeze Ahlstrom</t>
        </is>
      </c>
      <c r="D25" s="91" t="n">
        <v>540</v>
      </c>
      <c r="E25" s="91" t="n">
        <v>845.64</v>
      </c>
      <c r="F25" s="91" t="n">
        <v>869.99</v>
      </c>
      <c r="G25" s="91" t="n">
        <v>699.99</v>
      </c>
      <c r="H25" s="91" t="n">
        <v>739.99</v>
      </c>
      <c r="I25" s="91" t="n">
        <v>779.99</v>
      </c>
      <c r="J25" s="93" t="n">
        <v>0.028</v>
      </c>
      <c r="K25" s="94" t="inlineStr">
        <is>
          <t>BREACH: Whsl, Corp, Infl</t>
        </is>
      </c>
    </row>
    <row r="26">
      <c r="A26" s="91" t="n">
        <v>23</v>
      </c>
      <c r="B26" s="91" t="inlineStr">
        <is>
          <t>UC-BOG-FST-016</t>
        </is>
      </c>
      <c r="C26" s="91" t="inlineStr">
        <is>
          <t>Survivor</t>
        </is>
      </c>
      <c r="D26" s="91" t="n">
        <v>810</v>
      </c>
      <c r="E26" s="91" t="n">
        <v>1268.46</v>
      </c>
      <c r="F26" s="91" t="n">
        <v>1299.99</v>
      </c>
      <c r="G26" s="91" t="n">
        <v>1039.99</v>
      </c>
      <c r="H26" s="91" t="n">
        <v>1109.99</v>
      </c>
      <c r="I26" s="91" t="n">
        <v>1169.99</v>
      </c>
      <c r="J26" s="93" t="n">
        <v>0.0243</v>
      </c>
      <c r="K26" s="94" t="inlineStr">
        <is>
          <t>BREACH: Whsl, Corp, Infl</t>
        </is>
      </c>
    </row>
    <row r="27">
      <c r="A27" s="91" t="n">
        <v>24</v>
      </c>
      <c r="B27" s="91" t="inlineStr">
        <is>
          <t>UC-BOG-FCS-017</t>
        </is>
      </c>
      <c r="C27" s="91" t="inlineStr">
        <is>
          <t>Survivor  filter</t>
        </is>
      </c>
      <c r="D27" s="91" t="n">
        <v>270</v>
      </c>
      <c r="E27" s="91" t="n">
        <v>422.82</v>
      </c>
      <c r="F27" s="91" t="n">
        <v>439.99</v>
      </c>
      <c r="G27" s="91" t="n">
        <v>349.99</v>
      </c>
      <c r="H27" s="91" t="n">
        <v>369.99</v>
      </c>
      <c r="I27" s="91" t="n">
        <v>389.99</v>
      </c>
      <c r="J27" s="93" t="n">
        <v>0.039</v>
      </c>
      <c r="K27" s="94" t="inlineStr">
        <is>
          <t>BREACH: Whsl, Corp, Infl</t>
        </is>
      </c>
    </row>
    <row r="28">
      <c r="A28" s="91" t="n">
        <v>25</v>
      </c>
      <c r="B28" s="91" t="inlineStr">
        <is>
          <t>UC-BOG-SHL-018</t>
        </is>
      </c>
      <c r="C28" s="91" t="inlineStr">
        <is>
          <t>Shell</t>
        </is>
      </c>
      <c r="D28" s="91" t="n">
        <v>202.5</v>
      </c>
      <c r="E28" s="91" t="n">
        <v>317.12</v>
      </c>
      <c r="F28" s="91" t="n">
        <v>329.99</v>
      </c>
      <c r="G28" s="91" t="n">
        <v>259.99</v>
      </c>
      <c r="H28" s="91" t="n">
        <v>279.99</v>
      </c>
      <c r="I28" s="91" t="n">
        <v>299.99</v>
      </c>
      <c r="J28" s="93" t="n">
        <v>0.039</v>
      </c>
      <c r="K28" s="94" t="inlineStr">
        <is>
          <t>BREACH: Whsl, Corp, Infl</t>
        </is>
      </c>
    </row>
    <row r="29">
      <c r="A29" s="91" t="n">
        <v>26</v>
      </c>
      <c r="B29" s="91" t="inlineStr">
        <is>
          <t>UC-SKW-SHF-019</t>
        </is>
      </c>
      <c r="C29" s="91" t="inlineStr">
        <is>
          <t>Chanel</t>
        </is>
      </c>
      <c r="D29" s="91" t="n">
        <v>1620</v>
      </c>
      <c r="E29" s="91" t="n">
        <v>2536.92</v>
      </c>
      <c r="F29" s="91" t="n">
        <v>2599.99</v>
      </c>
      <c r="G29" s="91" t="n">
        <v>2079.99</v>
      </c>
      <c r="H29" s="91" t="n">
        <v>2209.99</v>
      </c>
      <c r="I29" s="91" t="n">
        <v>2339.99</v>
      </c>
      <c r="J29" s="93" t="n">
        <v>0.0243</v>
      </c>
      <c r="K29" s="94" t="inlineStr">
        <is>
          <t>BREACH: Whsl, Corp, Infl</t>
        </is>
      </c>
    </row>
    <row r="30">
      <c r="A30" s="91" t="n">
        <v>27</v>
      </c>
      <c r="B30" s="91" t="inlineStr">
        <is>
          <t>UC-SKW-SHF-020</t>
        </is>
      </c>
      <c r="C30" s="91" t="inlineStr">
        <is>
          <t>Derma Care</t>
        </is>
      </c>
      <c r="D30" s="91" t="n">
        <v>1282.5</v>
      </c>
      <c r="E30" s="91" t="n">
        <v>2008.39</v>
      </c>
      <c r="F30" s="91" t="n">
        <v>2059.99</v>
      </c>
      <c r="G30" s="91" t="n">
        <v>1649.99</v>
      </c>
      <c r="H30" s="91" t="n">
        <v>1749.99</v>
      </c>
      <c r="I30" s="91" t="n">
        <v>1849.99</v>
      </c>
      <c r="J30" s="93" t="n">
        <v>0.025</v>
      </c>
      <c r="K30" s="94" t="inlineStr">
        <is>
          <t>BREACH: Whsl, Corp, Infl</t>
        </is>
      </c>
    </row>
    <row r="31">
      <c r="A31" s="91" t="n">
        <v>28</v>
      </c>
      <c r="B31" s="91" t="inlineStr">
        <is>
          <t>UC-SKW-SHF-021</t>
        </is>
      </c>
      <c r="C31" s="91" t="inlineStr">
        <is>
          <t>J'adore</t>
        </is>
      </c>
      <c r="D31" s="91" t="n">
        <v>2025</v>
      </c>
      <c r="E31" s="91" t="n">
        <v>3171.15</v>
      </c>
      <c r="F31" s="91" t="n">
        <v>3299</v>
      </c>
      <c r="G31" s="91" t="n">
        <v>2599</v>
      </c>
      <c r="H31" s="91" t="n">
        <v>2799</v>
      </c>
      <c r="I31" s="91" t="n">
        <v>2999</v>
      </c>
      <c r="J31" s="93" t="n">
        <v>0.0388</v>
      </c>
      <c r="K31" s="94" t="inlineStr">
        <is>
          <t>BREACH: Whsl, Corp, Infl</t>
        </is>
      </c>
    </row>
    <row r="32">
      <c r="A32" s="91" t="n">
        <v>29</v>
      </c>
      <c r="B32" s="91" t="inlineStr">
        <is>
          <t>UC-SKW-SHF-022</t>
        </is>
      </c>
      <c r="C32" s="91" t="inlineStr">
        <is>
          <t>Pure Drop</t>
        </is>
      </c>
      <c r="D32" s="91" t="n">
        <v>1215</v>
      </c>
      <c r="E32" s="91" t="n">
        <v>1902.69</v>
      </c>
      <c r="F32" s="91" t="n">
        <v>1949.99</v>
      </c>
      <c r="G32" s="91" t="n">
        <v>1559.99</v>
      </c>
      <c r="H32" s="91" t="n">
        <v>1659.99</v>
      </c>
      <c r="I32" s="91" t="n">
        <v>1749.99</v>
      </c>
      <c r="J32" s="93" t="n">
        <v>0.0243</v>
      </c>
      <c r="K32" s="94" t="inlineStr">
        <is>
          <t>BREACH: Whsl, Corp, Infl</t>
        </is>
      </c>
    </row>
    <row r="33">
      <c r="A33" s="91" t="n">
        <v>30</v>
      </c>
      <c r="B33" s="91" t="inlineStr">
        <is>
          <t>UC-SKW-SHC-023</t>
        </is>
      </c>
      <c r="C33" s="91" t="inlineStr">
        <is>
          <t>Shower Filter</t>
        </is>
      </c>
      <c r="D33" s="91" t="n">
        <v>877.5</v>
      </c>
      <c r="E33" s="91" t="n">
        <v>1374.16</v>
      </c>
      <c r="F33" s="91" t="n">
        <v>1409.99</v>
      </c>
      <c r="G33" s="91" t="n">
        <v>1129.99</v>
      </c>
      <c r="H33" s="91" t="n">
        <v>1199.99</v>
      </c>
      <c r="I33" s="91" t="n">
        <v>1269.99</v>
      </c>
      <c r="J33" s="93" t="n">
        <v>0.0254</v>
      </c>
      <c r="K33" s="94" t="inlineStr">
        <is>
          <t>BREACH: Whsl, Corp, Infl</t>
        </is>
      </c>
    </row>
    <row r="34">
      <c r="A34" s="91" t="n">
        <v>31</v>
      </c>
      <c r="B34" s="91" t="inlineStr">
        <is>
          <t>UC-SKW-DFS-024</t>
        </is>
      </c>
      <c r="C34" s="91" t="inlineStr">
        <is>
          <t>Derma Flux</t>
        </is>
      </c>
      <c r="D34" s="91" t="n">
        <v>4050</v>
      </c>
      <c r="E34" s="91" t="n">
        <v>6342.3</v>
      </c>
      <c r="F34" s="91" t="n">
        <v>6499</v>
      </c>
      <c r="G34" s="91" t="n">
        <v>5199</v>
      </c>
      <c r="H34" s="91" t="n">
        <v>5599</v>
      </c>
      <c r="I34" s="91" t="n">
        <v>5899</v>
      </c>
      <c r="J34" s="93" t="n">
        <v>0.0241</v>
      </c>
      <c r="K34" s="94" t="inlineStr">
        <is>
          <t>BREACH: Whsl, Corp, Infl</t>
        </is>
      </c>
    </row>
    <row r="35">
      <c r="A35" s="91" t="n">
        <v>32</v>
      </c>
      <c r="B35" s="91" t="inlineStr">
        <is>
          <t>UC-SKW-DFS-025</t>
        </is>
      </c>
      <c r="C35" s="91" t="inlineStr">
        <is>
          <t>Derma Flux</t>
        </is>
      </c>
      <c r="D35" s="91" t="inlineStr">
        <is>
          <t>(no cost)</t>
        </is>
      </c>
      <c r="E35" s="91" t="inlineStr"/>
      <c r="F35" s="91" t="inlineStr"/>
      <c r="G35" s="91" t="inlineStr"/>
      <c r="H35" s="91" t="inlineStr"/>
      <c r="I35" s="91" t="inlineStr"/>
      <c r="J35" s="91" t="inlineStr"/>
      <c r="K35" s="95" t="inlineStr">
        <is>
          <t>NO COST ROW — cannot be gated. Blocks publish.</t>
        </is>
      </c>
    </row>
    <row r="36">
      <c r="A36" s="91" t="n">
        <v>33</v>
      </c>
      <c r="B36" s="91" t="inlineStr">
        <is>
          <t>UC-SKW-DFS-026</t>
        </is>
      </c>
      <c r="C36" s="91" t="inlineStr">
        <is>
          <t>Derma Flux</t>
        </is>
      </c>
      <c r="D36" s="91" t="inlineStr">
        <is>
          <t>(no cost)</t>
        </is>
      </c>
      <c r="E36" s="91" t="inlineStr"/>
      <c r="F36" s="91" t="inlineStr"/>
      <c r="G36" s="91" t="inlineStr"/>
      <c r="H36" s="91" t="inlineStr"/>
      <c r="I36" s="91" t="inlineStr"/>
      <c r="J36" s="91" t="inlineStr"/>
      <c r="K36" s="95" t="inlineStr">
        <is>
          <t>NO COST ROW — cannot be gated. Blocks publish.</t>
        </is>
      </c>
    </row>
    <row r="37">
      <c r="A37" s="91" t="n">
        <v>34</v>
      </c>
      <c r="B37" s="91" t="inlineStr">
        <is>
          <t>UC-SKW-DFO-027</t>
        </is>
      </c>
      <c r="C37" s="91" t="inlineStr">
        <is>
          <t xml:space="preserve">Derma Flux  Fiiter </t>
        </is>
      </c>
      <c r="D37" s="91" t="n">
        <v>945</v>
      </c>
      <c r="E37" s="91" t="n">
        <v>1479.87</v>
      </c>
      <c r="F37" s="91" t="n">
        <v>1519.99</v>
      </c>
      <c r="G37" s="91" t="n">
        <v>1209.99</v>
      </c>
      <c r="H37" s="91" t="n">
        <v>1289.99</v>
      </c>
      <c r="I37" s="91" t="n">
        <v>1369.99</v>
      </c>
      <c r="J37" s="93" t="n">
        <v>0.0264</v>
      </c>
      <c r="K37" s="94" t="inlineStr">
        <is>
          <t>BREACH: Whsl, Corp, Infl</t>
        </is>
      </c>
    </row>
    <row r="38">
      <c r="A38" s="91" t="n">
        <v>35</v>
      </c>
      <c r="B38" s="91" t="inlineStr">
        <is>
          <t>UC-HOU-ROP-PP</t>
        </is>
      </c>
      <c r="C38" s="91" t="inlineStr">
        <is>
          <t>RO Replacement</t>
        </is>
      </c>
      <c r="D38" s="91" t="n">
        <v>47.25</v>
      </c>
      <c r="E38" s="91" t="n">
        <v>73.98999999999999</v>
      </c>
      <c r="F38" s="91" t="n">
        <v>79.98999999999999</v>
      </c>
      <c r="G38" s="91" t="n">
        <v>69.98999999999999</v>
      </c>
      <c r="H38" s="91" t="n">
        <v>69.98999999999999</v>
      </c>
      <c r="I38" s="91" t="n">
        <v>69.98999999999999</v>
      </c>
      <c r="J38" s="93" t="n">
        <v>0.075</v>
      </c>
      <c r="K38" s="94" t="inlineStr">
        <is>
          <t>BREACH: Whsl, Corp, Infl</t>
        </is>
      </c>
    </row>
    <row r="39">
      <c r="A39" s="91" t="n">
        <v>36</v>
      </c>
      <c r="B39" s="91" t="inlineStr">
        <is>
          <t>UC-HOU-ROP-UDF</t>
        </is>
      </c>
      <c r="C39" s="91" t="inlineStr">
        <is>
          <t>RO Replacement</t>
        </is>
      </c>
      <c r="D39" s="91" t="n">
        <v>405</v>
      </c>
      <c r="E39" s="91" t="n">
        <v>634.23</v>
      </c>
      <c r="F39" s="91" t="n">
        <v>649.99</v>
      </c>
      <c r="G39" s="91" t="n">
        <v>519.99</v>
      </c>
      <c r="H39" s="91" t="n">
        <v>559.99</v>
      </c>
      <c r="I39" s="91" t="n">
        <v>589.99</v>
      </c>
      <c r="J39" s="93" t="n">
        <v>0.0242</v>
      </c>
      <c r="K39" s="94" t="inlineStr">
        <is>
          <t>BREACH: Whsl, Corp, Infl</t>
        </is>
      </c>
    </row>
    <row r="40">
      <c r="A40" s="91" t="n">
        <v>37</v>
      </c>
      <c r="B40" s="91" t="inlineStr">
        <is>
          <t>UC-HOU-ROP-CTO</t>
        </is>
      </c>
      <c r="C40" s="91" t="inlineStr">
        <is>
          <t>RO Replacement</t>
        </is>
      </c>
      <c r="D40" s="91" t="n">
        <v>405</v>
      </c>
      <c r="E40" s="91" t="n">
        <v>634.23</v>
      </c>
      <c r="F40" s="91" t="n">
        <v>649.99</v>
      </c>
      <c r="G40" s="91" t="n">
        <v>519.99</v>
      </c>
      <c r="H40" s="91" t="n">
        <v>559.99</v>
      </c>
      <c r="I40" s="91" t="n">
        <v>589.99</v>
      </c>
      <c r="J40" s="93" t="n">
        <v>0.0242</v>
      </c>
      <c r="K40" s="94" t="inlineStr">
        <is>
          <t>BREACH: Whsl, Corp, Infl</t>
        </is>
      </c>
    </row>
    <row r="41">
      <c r="A41" s="91" t="n">
        <v>38</v>
      </c>
      <c r="B41" s="91" t="inlineStr">
        <is>
          <t>UC-HOU-ROM-100g</t>
        </is>
      </c>
      <c r="C41" s="91" t="inlineStr">
        <is>
          <t>RO Replacement</t>
        </is>
      </c>
      <c r="D41" s="91" t="n">
        <v>607.5</v>
      </c>
      <c r="E41" s="91" t="n">
        <v>951.35</v>
      </c>
      <c r="F41" s="91" t="n">
        <v>979.99</v>
      </c>
      <c r="G41" s="91" t="n">
        <v>779.99</v>
      </c>
      <c r="H41" s="91" t="n">
        <v>829.99</v>
      </c>
      <c r="I41" s="91" t="n">
        <v>879.99</v>
      </c>
      <c r="J41" s="93" t="n">
        <v>0.0292</v>
      </c>
      <c r="K41" s="94" t="inlineStr">
        <is>
          <t>BREACH: Whsl, Corp, Infl</t>
        </is>
      </c>
    </row>
    <row r="42">
      <c r="A42" s="91" t="n">
        <v>39</v>
      </c>
      <c r="B42" s="91" t="inlineStr">
        <is>
          <t>UC-HOU-RO-YMT33</t>
        </is>
      </c>
      <c r="C42" s="91" t="inlineStr">
        <is>
          <t>RO Replacement</t>
        </is>
      </c>
      <c r="D42" s="91" t="n">
        <v>162</v>
      </c>
      <c r="E42" s="91" t="n">
        <v>253.69</v>
      </c>
      <c r="F42" s="91" t="n">
        <v>259.99</v>
      </c>
      <c r="G42" s="91" t="n">
        <v>209.99</v>
      </c>
      <c r="H42" s="91" t="n">
        <v>229.99</v>
      </c>
      <c r="I42" s="91" t="n">
        <v>239.99</v>
      </c>
      <c r="J42" s="93" t="n">
        <v>0.0242</v>
      </c>
      <c r="K42" s="94" t="inlineStr">
        <is>
          <t>BREACH: Whsl, Corp, Infl</t>
        </is>
      </c>
    </row>
    <row r="43">
      <c r="A43" s="91" t="n">
        <v>40</v>
      </c>
      <c r="B43" s="91" t="inlineStr">
        <is>
          <t>UC-HOU-RO-CBT33</t>
        </is>
      </c>
      <c r="C43" s="91" t="inlineStr">
        <is>
          <t>RO Replacement</t>
        </is>
      </c>
      <c r="D43" s="91" t="n">
        <v>270</v>
      </c>
      <c r="E43" s="91" t="n">
        <v>422.82</v>
      </c>
      <c r="F43" s="91" t="n">
        <v>439.99</v>
      </c>
      <c r="G43" s="91" t="n">
        <v>349.99</v>
      </c>
      <c r="H43" s="91" t="n">
        <v>369.99</v>
      </c>
      <c r="I43" s="91" t="n">
        <v>389.99</v>
      </c>
      <c r="J43" s="93" t="n">
        <v>0.039</v>
      </c>
      <c r="K43" s="94" t="inlineStr">
        <is>
          <t>BREACH: Whsl, Corp, Infl</t>
        </is>
      </c>
    </row>
    <row r="44">
      <c r="A44" s="91" t="n">
        <v>41</v>
      </c>
      <c r="B44" s="91" t="inlineStr">
        <is>
          <t>UC-BOG-ECO-ECF1</t>
        </is>
      </c>
      <c r="C44" s="91" t="inlineStr">
        <is>
          <t>Ecosmart Filter</t>
        </is>
      </c>
      <c r="D44" s="91" t="n">
        <v>5805</v>
      </c>
      <c r="E44" s="91" t="n">
        <v>9090.629999999999</v>
      </c>
      <c r="F44" s="91" t="n">
        <v>9299</v>
      </c>
      <c r="G44" s="91" t="n">
        <v>7499</v>
      </c>
      <c r="H44" s="91" t="n">
        <v>7899</v>
      </c>
      <c r="I44" s="91" t="n">
        <v>8399</v>
      </c>
      <c r="J44" s="93" t="n">
        <v>0.0224</v>
      </c>
      <c r="K44" s="94" t="inlineStr">
        <is>
          <t>BREACH: Whsl, Corp, Infl</t>
        </is>
      </c>
    </row>
    <row r="46">
      <c r="B46" s="88" t="inlineStr">
        <is>
          <t>SUMMARY</t>
        </is>
      </c>
    </row>
    <row r="47">
      <c r="B47" t="inlineStr">
        <is>
          <t>Retail</t>
        </is>
      </c>
      <c r="C47" t="inlineStr">
        <is>
          <t>0 of 37 breach</t>
        </is>
      </c>
    </row>
    <row r="48">
      <c r="B48" t="inlineStr">
        <is>
          <t>Wholesale</t>
        </is>
      </c>
      <c r="C48" t="inlineStr">
        <is>
          <t>37 of 37 breach</t>
        </is>
      </c>
    </row>
    <row r="49">
      <c r="B49" t="inlineStr">
        <is>
          <t>Corporate</t>
        </is>
      </c>
      <c r="C49" t="inlineStr">
        <is>
          <t>37 of 37 breach</t>
        </is>
      </c>
    </row>
    <row r="50">
      <c r="B50" t="inlineStr">
        <is>
          <t>Influencer</t>
        </is>
      </c>
      <c r="C50" t="inlineStr">
        <is>
          <t>37 of 37 breach</t>
        </is>
      </c>
    </row>
    <row r="52">
      <c r="B52" s="92" t="inlineStr">
        <is>
          <t>The ladder cannot clear the floor</t>
        </is>
      </c>
    </row>
    <row r="53" ht="72" customHeight="1">
      <c r="B53" s="91" t="inlineStr">
        <is>
          <t>Retail = cost x 1.600 (passes, 2.13% headroom). Wholesale = cost x 1.280. Corporate = cost x 1.360. Influencer = cost x 1.440. The floor is cost x 1.566. Every discounted tier is below cost-plus-margin on every SKU — 111 of 111 tier/SKU combinations. This is not a data problem; the 20/15/10 discount schedule is arithmetically impossible at a 1.60 retail multiplier. Either the retail multiplier rises to at least 1.96 (to fund a 20% wholesale discount) or the discount schedule is cut to 2.13%.</t>
        </is>
      </c>
    </row>
  </sheetData>
  <mergeCells count="1">
    <mergeCell ref="B53:K5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26" customWidth="1" min="3" max="3"/>
    <col width="84" customWidth="1" min="4" max="4"/>
    <col width="16" customWidth="1" min="5" max="5"/>
  </cols>
  <sheetData>
    <row r="1">
      <c r="A1" s="89" t="inlineStr">
        <is>
          <t>Open items this file raises — owner ruling required</t>
        </is>
      </c>
    </row>
    <row r="3">
      <c r="A3" s="90" t="inlineStr">
        <is>
          <t>No.</t>
        </is>
      </c>
      <c r="B3" s="90" t="inlineStr">
        <is>
          <t>SEVERITY</t>
        </is>
      </c>
      <c r="C3" s="90" t="inlineStr">
        <is>
          <t>ITEM</t>
        </is>
      </c>
      <c r="D3" s="90" t="inlineStr">
        <is>
          <t>FINDING / EVIDENCE</t>
        </is>
      </c>
      <c r="E3" s="90" t="inlineStr">
        <is>
          <t>DECISION</t>
        </is>
      </c>
    </row>
    <row r="4" ht="58" customHeight="1">
      <c r="A4" s="91" t="n">
        <v>1</v>
      </c>
      <c r="B4" s="95" t="inlineStr">
        <is>
          <t>BLOCKING</t>
        </is>
      </c>
      <c r="C4" s="91" t="inlineStr">
        <is>
          <t>Retail multiplier 1.60 vs floor 1.566</t>
        </is>
      </c>
      <c r="D4" s="91" t="inlineStr">
        <is>
          <t>Only 2.13% of discount capacity exists. The 20/15/10 wholesale/corporate/influencer schedule breaches the R4 floor on 100% of priced SKUs. Withdraw the schedule or raise the multiplier.</t>
        </is>
      </c>
      <c r="E4" s="91" t="inlineStr"/>
    </row>
    <row r="5" ht="58" customHeight="1">
      <c r="A5" s="91" t="n">
        <v>2</v>
      </c>
      <c r="B5" s="95" t="inlineStr">
        <is>
          <t>BLOCKING</t>
        </is>
      </c>
      <c r="C5" s="91" t="inlineStr">
        <is>
          <t>3 SKUs with no Landing Cost</t>
        </is>
      </c>
      <c r="D5" s="91" t="inlineStr">
        <is>
          <t>UC-BOG-UF-100 (Ultra Fold), UC-SKW-DFS-025 and UC-SKW-DFS-026 (Derma Flux SF-N2 / SF-N3). Ex-works cost exists (6 / 47 / 45 USD) but landed does not, so no price and no floor test. They cannot be published.</t>
        </is>
      </c>
      <c r="E5" s="91" t="inlineStr"/>
    </row>
    <row r="6" ht="58" customHeight="1">
      <c r="A6" s="91" t="n">
        <v>3</v>
      </c>
      <c r="B6" s="96" t="inlineStr">
        <is>
          <t>HIGH</t>
        </is>
      </c>
      <c r="C6" s="91" t="inlineStr">
        <is>
          <t>Aqua Stream now carries a THIRD price</t>
        </is>
      </c>
      <c r="D6" s="91" t="inlineStr">
        <is>
          <t>This file: UC-HOU-ROS-002, retail 53,990. Live site: 69,990. Official 2026: 75,990. All three clear the floor (52,852), so the gate no longer blocks — but the identity does. D10 is now a naming/authority dispute, not a costing gap.</t>
        </is>
      </c>
      <c r="E6" s="91" t="inlineStr"/>
    </row>
    <row r="7" ht="58" customHeight="1">
      <c r="A7" s="91" t="n">
        <v>4</v>
      </c>
      <c r="B7" s="96" t="inlineStr">
        <is>
          <t>HIGH</t>
        </is>
      </c>
      <c r="C7" s="91" t="inlineStr">
        <is>
          <t>Aqua Stream SKU contradicts its own category</t>
        </is>
      </c>
      <c r="D7" s="91" t="inlineStr">
        <is>
          <t>Column A says "Commercial"; the SKU segment says HOU (Home &amp; Utility); the catalogue calls it UC-COM-UP-027. One product, three identities. Nothing joins on a name — this must be resolved by ruling, not by matching text.</t>
        </is>
      </c>
      <c r="E7" s="91" t="inlineStr"/>
    </row>
    <row r="8" ht="58" customHeight="1">
      <c r="A8" s="91" t="n">
        <v>5</v>
      </c>
      <c r="B8" s="96" t="inlineStr">
        <is>
          <t>HIGH</t>
        </is>
      </c>
      <c r="C8" s="91" t="inlineStr">
        <is>
          <t>Duplicate SKU UC-BOG-FCA-015</t>
        </is>
      </c>
      <c r="D8" s="91" t="inlineStr">
        <is>
          <t>Rows 21 and 22 both carry UC-BOG-FCA-015 but are different products: "Cartridge - squeeze Ahlstrom" (BG-F06A) and "Cartridge - bottle Ahlstrom" (Tritan Bottle Filter Cap). The master is sole issuer; one of these needs a new child SKU.</t>
        </is>
      </c>
      <c r="E8" s="91" t="inlineStr"/>
    </row>
    <row r="9" ht="58" customHeight="1">
      <c r="A9" s="91" t="n">
        <v>6</v>
      </c>
      <c r="B9" s="96" t="inlineStr">
        <is>
          <t>HIGH</t>
        </is>
      </c>
      <c r="C9" s="91" t="inlineStr">
        <is>
          <t>Consumables ladder defined but unused</t>
        </is>
      </c>
      <c r="D9" s="91" t="inlineStr">
        <is>
          <t>Z11:Z14 (1.45 / 0.5 / 0.6 / 0.65) exists and 15 rows are tagged "consumables" in column B, yet only row 12 ever referenced it. The repair standardised every row on the Core ladder, which moved UC-HOU-DF-007 from 1,370.25 to 1,512.00 (+10.3%). If consumables should use the Z ladder, say so and it will be switched by rule, not by hand.</t>
        </is>
      </c>
      <c r="E9" s="91" t="inlineStr"/>
    </row>
    <row r="10" ht="58" customHeight="1">
      <c r="A10" s="91" t="n">
        <v>7</v>
      </c>
      <c r="B10" s="97" t="inlineStr">
        <is>
          <t>MEDIUM</t>
        </is>
      </c>
      <c r="C10" s="91" t="inlineStr">
        <is>
          <t>7 SKUs where landed cost = ex-works cost</t>
        </is>
      </c>
      <c r="D10" s="91" t="inlineStr">
        <is>
          <t>UC-HOU-ROP-PP/UDF/CTO, ROM-100g, RO-YMT33, RO-CBT33, and UC-SKW-DFO-027 carry landed = ex-works exactly. Freight, duty and clearing were never applied. Their cost is understated, so their floor is understated and their true breach is worse than shown.</t>
        </is>
      </c>
      <c r="E10" s="91" t="inlineStr"/>
    </row>
    <row r="11" ht="58" customHeight="1">
      <c r="A11" s="91" t="n">
        <v>8</v>
      </c>
      <c r="B11" s="97" t="inlineStr">
        <is>
          <t>MEDIUM</t>
        </is>
      </c>
      <c r="C11" s="91" t="inlineStr">
        <is>
          <t>5 SKUs where landed cost is BELOW ex-works</t>
        </is>
      </c>
      <c r="D11" s="91" t="inlineStr">
        <is>
          <t>UC-BOG-FLB-012 (0.83x), SQB-013 (0.92x), SQB-014 (0.99x), FCS-017 (0.80x), SKW-DFS-024 (0.60x). Landing cannot be cheaper than the factory. Either the ex-works figure is stale or the landed figure is a negotiated price, not a cost.</t>
        </is>
      </c>
      <c r="E11" s="91" t="inlineStr"/>
    </row>
    <row r="12" ht="58" customHeight="1">
      <c r="A12" s="91" t="n">
        <v>9</v>
      </c>
      <c r="B12" s="97" t="inlineStr">
        <is>
          <t>MEDIUM</t>
        </is>
      </c>
      <c r="C12" s="91" t="inlineStr">
        <is>
          <t>Packing list is not joined</t>
        </is>
      </c>
      <c r="D12" s="91" t="inlineStr">
        <is>
          <t>The PL sheet and the AD column list manufacturer model codes as TEXT. No formula anywhere links a SKU to a packing-list line. The linkage you intend for this file does not exist yet — it is a visual adjacency, not a join.</t>
        </is>
      </c>
      <c r="E12" s="91" t="inlineStr"/>
    </row>
    <row r="13" ht="58" customHeight="1">
      <c r="A13" s="91" t="n">
        <v>10</v>
      </c>
      <c r="B13" s="98" t="inlineStr">
        <is>
          <t>LOW</t>
        </is>
      </c>
      <c r="C13" s="91" t="inlineStr">
        <is>
          <t>Tier ladder is based on raw Retail_KES, not the published psychological price</t>
        </is>
      </c>
      <c r="D13" s="91" t="inlineStr">
        <is>
          <t>Retail_USD is derived from the psychological price; the three discount tiers are derived from the unrounded retail. The two bases differ. Effect is small (under 1%) but the rule should be one or the other.</t>
        </is>
      </c>
      <c r="E13" s="9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C27"/>
  <sheetViews>
    <sheetView workbookViewId="0">
      <selection activeCell="A1" sqref="A1"/>
    </sheetView>
  </sheetViews>
  <sheetFormatPr baseColWidth="8" defaultRowHeight="15"/>
  <cols>
    <col width="4" customWidth="1" min="1" max="1"/>
    <col width="30" customWidth="1" min="2" max="2"/>
    <col width="104" customWidth="1" min="3" max="3"/>
  </cols>
  <sheetData>
    <row r="1">
      <c r="B1" s="89" t="inlineStr">
        <is>
          <t>UC SKU MASTER v2 — variant, stock and landed-cost architecture</t>
        </is>
      </c>
    </row>
    <row r="3" ht="70" customHeight="1">
      <c r="B3" s="88" t="inlineStr">
        <is>
          <t>THE ONE RULE</t>
        </is>
      </c>
      <c r="C3" s="91" t="inlineStr">
        <is>
          <t>A SKU is an identifier, not a description. It must be unique, stable and never re-issued. Every attribute — colour, size, media, filter life, carton size — lives in its own COLUMN. You never read a SKU to learn what something is; you look it up. Seven different SKU grammars exist today because each time a new attribute appeared, someone lengthened the string. Colour was about to be the eighth.</t>
        </is>
      </c>
    </row>
    <row r="5" ht="42" customHeight="1">
      <c r="B5" s="88" t="inlineStr">
        <is>
          <t>CHILD SKU FORMAT</t>
        </is>
      </c>
      <c r="C5" s="91" t="inlineStr">
        <is>
          <t>CHILD_SKU = &lt;PARENT_SKU&gt;-&lt;VV&gt;   where VV is a two-letter variant code, or XX where the product has no variants. Example: UC-BOG-TRB-010-GN. The parent is literally inside the child, so the parent-child join can never break and needs no crosswalk.</t>
        </is>
      </c>
    </row>
    <row r="7" ht="70" customHeight="1">
      <c r="B7" s="88" t="inlineStr">
        <is>
          <t>WHY NOT LONGER</t>
        </is>
      </c>
      <c r="C7" s="91" t="inlineStr">
        <is>
          <t>The old format UC-EA-BOT-VDR-GN-500ML-25 embeds size and year. The packing list says that bottle is 500ml; the variation file says 500ML; Hydra Flux is 740ml on the packing list and 750ML in the variation file; Gym Buddy is 1000ml to the factory and 1200ml to us. Every contradiction lives in a segment that duplicates a column. Shortening the string deletes the whole class of error.</t>
        </is>
      </c>
    </row>
    <row r="9" ht="30" customHeight="1">
      <c r="B9" s="88" t="inlineStr">
        <is>
          <t>WHAT IS A PARENT</t>
        </is>
      </c>
      <c r="C9" s="91" t="inlineStr">
        <is>
          <t>Different price, different cost or different carton = different PARENT. A 500ml and a 1000ml bottle are two parents. Different colour only = same parent, different CHILD.</t>
        </is>
      </c>
    </row>
    <row r="11" ht="30" customHeight="1">
      <c r="B11" s="88" t="inlineStr">
        <is>
          <t>WHAT IS COUNTABLE</t>
        </is>
      </c>
      <c r="C11" s="91" t="inlineStr">
        <is>
          <t>Only CHILD_SKU is pickable, countable and sellable (ruling D38). Stock, orders and picks attach to the child. Price, cost, policy and evidence attach to the parent.</t>
        </is>
      </c>
    </row>
    <row r="13" ht="42" customHeight="1">
      <c r="B13" s="88" t="inlineStr">
        <is>
          <t>STOCK vs FUTURE</t>
        </is>
      </c>
      <c r="C13" s="91" t="inlineStr">
        <is>
          <t>STOCK_STATUS is IN_STOCK only where a physical count recorded units. Everything else is FUTURE — not yet purchased — or INCOMING — on an open shipment. QTY_ON_HAND is meaningless without COUNT_DATE beside it: the current anchor is 12 Mar 2026 and a recount was due 7 Sep 2026.</t>
        </is>
      </c>
    </row>
    <row r="15" ht="42" customHeight="1">
      <c r="B15" s="88" t="inlineStr">
        <is>
          <t>LANDED COST</t>
        </is>
      </c>
      <c r="C15" s="91" t="inlineStr">
        <is>
          <t>Landed cost is DERIVED, never typed. Landed = EXW + freight/unit + one-time fees/unit + duty &amp; clearing. Freight/unit = (L x W x H x cartons / 1,000,000) / units x rate. BASIS records which method produced each number, so a typed figure can never masquerade as a measured one.</t>
        </is>
      </c>
    </row>
    <row r="17" ht="42" customHeight="1">
      <c r="B17" s="88" t="inlineStr">
        <is>
          <t>FREIGHT RATE</t>
        </is>
      </c>
      <c r="C17" s="91" t="inlineStr">
        <is>
          <t>Two rates are in play: USD 400/CBM for the Tanzania stock already landed, USD 500/CBM for new stock. The rate is a named parameter (FREIGHT_RATE) on LANDED_COST_BUILD, not a constant inside formulas.</t>
        </is>
      </c>
    </row>
    <row r="19" ht="42" customHeight="1">
      <c r="B19" s="88" t="inlineStr">
        <is>
          <t>RULING — CAPACITY</t>
        </is>
      </c>
      <c r="C19" s="91" t="inlineStr">
        <is>
          <t>Storefront capacity is the published figure and the only one used anywhere. Factory capacity is kept in a separate reference column, never published, so nobody "corrects" the storefront value back to the packing-list value. Hydra Flux 750 ml, Truva Go 750 ml, Gym Buddy 1200 ml.</t>
        </is>
      </c>
    </row>
    <row r="21" ht="30" customHeight="1">
      <c r="B21" s="88" t="inlineStr">
        <is>
          <t>RULING — BLANK COST</t>
        </is>
      </c>
      <c r="C21" s="91" t="inlineStr">
        <is>
          <t>A missing landed cost is allowed. It is not allowed to be invisible. BASIS = NONE, and the gate holds the product out of the catalogue until a cost exists. Nothing is guessed to fill a gap.</t>
        </is>
      </c>
    </row>
    <row r="23" ht="42" customHeight="1">
      <c r="B23" s="88" t="inlineStr">
        <is>
          <t>RULING — PRICE</t>
        </is>
      </c>
      <c r="C23" s="91" t="inlineStr">
        <is>
          <t>No price is fixed. The file computes a MINIMUM, never a price. PRICE_MIN = cost x R4_FLOOR / deepest tier. Judgement sets the actual price anywhere at or above it. The gate only ever tests the floor.</t>
        </is>
      </c>
    </row>
    <row r="25" ht="56" customHeight="1">
      <c r="B25" s="88" t="inlineStr">
        <is>
          <t>THE GUARDRAIL</t>
        </is>
      </c>
      <c r="C25" s="91" t="inlineStr">
        <is>
          <t>MULT_RETAIL is DERIVED, not typed: ROUNDUP(R4_FLOOR / MIN_TIER_RATE x (1 + SAFETY_BUFFER), 2) = 2.00. At the old typed 1.60 the deepest discount landed at cost x 1.28, below the 1.566 floor — one typed number caused every tier breach in the catalogue. Deepen wholesale to 25% and MULT_RETAIL rises to 2.13 on its own. The rule now enforces itself.</t>
        </is>
      </c>
    </row>
    <row r="27" ht="56" customHeight="1">
      <c r="B27" s="88" t="inlineStr">
        <is>
          <t>D10 — CLOSED</t>
        </is>
      </c>
      <c r="C27" s="91" t="inlineStr">
        <is>
          <t>UC-HOU-ROS-002 is RETIRED and never re-issued; it had pointed at two different products. The Commercial RO System is UC-COM-ROS-002, landed USD 200. Uniqueness is tested on the FULL string and the numeric segment carries no meaning, so reusing "002" creates no conflict. See SKU_REGISTRY.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2"/>
  <sheetViews>
    <sheetView workbookViewId="0">
      <pane ySplit="3" topLeftCell="A4" activePane="bottomLeft" state="frozen"/>
      <selection pane="bottomLeft" activeCell="A1" sqref="A1"/>
    </sheetView>
  </sheetViews>
  <sheetFormatPr baseColWidth="8" defaultRowHeight="15"/>
  <cols>
    <col width="24" customWidth="1" min="1" max="1"/>
    <col width="19" customWidth="1" min="2" max="2"/>
    <col width="22" customWidth="1" min="3" max="3"/>
    <col width="8" customWidth="1" min="4" max="4"/>
    <col width="11" customWidth="1" min="5" max="5"/>
    <col width="9" customWidth="1" min="6" max="6"/>
    <col width="9" customWidth="1" min="7" max="7"/>
    <col width="10" customWidth="1" min="8" max="8"/>
    <col width="19" customWidth="1" min="9" max="9"/>
    <col width="22" customWidth="1" min="10" max="10"/>
    <col width="20" customWidth="1" min="11" max="11"/>
    <col width="11" customWidth="1" min="12" max="12"/>
    <col width="13" customWidth="1" min="13" max="13"/>
    <col width="12" customWidth="1" min="14" max="14"/>
    <col width="12" customWidth="1" min="15" max="15"/>
    <col width="13" customWidth="1" min="16" max="16"/>
    <col width="11" customWidth="1" min="17" max="17"/>
    <col width="15" customWidth="1" min="18" max="18"/>
    <col width="30" customWidth="1" min="19" max="19"/>
    <col width="14" customWidth="1" min="20" max="20"/>
    <col width="52" customWidth="1" min="21" max="21"/>
  </cols>
  <sheetData>
    <row r="1">
      <c r="A1" s="89" t="inlineStr">
        <is>
          <t>CHILD_SKU — the only countable, pickable, sellable unit.  RULING: storefront capacity is the published figure; factory capacity is reference only.</t>
        </is>
      </c>
    </row>
    <row r="3">
      <c r="A3" s="90" t="inlineStr">
        <is>
          <t>CHILD_SKU</t>
        </is>
      </c>
      <c r="B3" s="90" t="inlineStr">
        <is>
          <t>PARENT_SKU</t>
        </is>
      </c>
      <c r="C3" s="90" t="inlineStr">
        <is>
          <t>MODEL NAME</t>
        </is>
      </c>
      <c r="D3" s="90" t="inlineStr">
        <is>
          <t>VARIANT_CODE</t>
        </is>
      </c>
      <c r="E3" s="90" t="inlineStr">
        <is>
          <t>VARIANT_AXIS</t>
        </is>
      </c>
      <c r="F3" s="90" t="inlineStr">
        <is>
          <t>COLOUR</t>
        </is>
      </c>
      <c r="G3" s="90" t="inlineStr">
        <is>
          <t>FINISH</t>
        </is>
      </c>
      <c r="H3" s="90" t="inlineStr">
        <is>
          <t>RELEASE</t>
        </is>
      </c>
      <c r="I3" s="90" t="inlineStr">
        <is>
          <t>CAPACITY_STOREFRONT</t>
        </is>
      </c>
      <c r="J3" s="90" t="inlineStr">
        <is>
          <t>CAPACITY_FACTORY (ref only)</t>
        </is>
      </c>
      <c r="K3" s="90" t="inlineStr">
        <is>
          <t>FILTER_LIFE</t>
        </is>
      </c>
      <c r="L3" s="90" t="inlineStr">
        <is>
          <t>FILTER_MEDIA</t>
        </is>
      </c>
      <c r="M3" s="90" t="inlineStr">
        <is>
          <t>LIFECYCLE</t>
        </is>
      </c>
      <c r="N3" s="90" t="inlineStr">
        <is>
          <t>STOCK_STATUS</t>
        </is>
      </c>
      <c r="O3" s="90" t="inlineStr">
        <is>
          <t>QTY_ON_HAND</t>
        </is>
      </c>
      <c r="P3" s="90" t="inlineStr">
        <is>
          <t>COUNT_DATE</t>
        </is>
      </c>
      <c r="Q3" s="90" t="inlineStr">
        <is>
          <t>SHIPMENT_ID</t>
        </is>
      </c>
      <c r="R3" s="90" t="inlineStr">
        <is>
          <t>ETA</t>
        </is>
      </c>
      <c r="S3" s="90" t="inlineStr">
        <is>
          <t>CHANNEL_PUBLISH</t>
        </is>
      </c>
      <c r="T3" s="90" t="inlineStr">
        <is>
          <t>LEGACY_SKU</t>
        </is>
      </c>
      <c r="U3" s="90" t="inlineStr">
        <is>
          <t>SOURCE</t>
        </is>
      </c>
      <c r="V3" s="90" t="inlineStr">
        <is>
          <t>FLAG</t>
        </is>
      </c>
    </row>
    <row r="4">
      <c r="A4" s="91" t="inlineStr">
        <is>
          <t>UC-HOU-PHRO-001-XX</t>
        </is>
      </c>
      <c r="B4" s="91" t="inlineStr">
        <is>
          <t>UC-HOU-PHRO-001</t>
        </is>
      </c>
      <c r="C4" s="91" t="inlineStr">
        <is>
          <t>Pure Home</t>
        </is>
      </c>
      <c r="D4" s="91" t="inlineStr">
        <is>
          <t>XX</t>
        </is>
      </c>
      <c r="E4" s="91" t="inlineStr">
        <is>
          <t>NONE</t>
        </is>
      </c>
      <c r="F4" s="91" t="inlineStr"/>
      <c r="G4" s="91" t="inlineStr"/>
      <c r="H4" s="91" t="inlineStr"/>
      <c r="I4" s="91" t="inlineStr"/>
      <c r="K4" s="91" t="inlineStr"/>
      <c r="L4" s="91" t="inlineStr"/>
      <c r="M4" s="91" t="inlineStr">
        <is>
          <t>ACTIVE</t>
        </is>
      </c>
      <c r="N4" s="95" t="inlineStr">
        <is>
          <t>FUTURE</t>
        </is>
      </c>
      <c r="O4" s="91" t="n">
        <v>0</v>
      </c>
      <c r="P4" s="91" t="inlineStr"/>
      <c r="Q4" s="91" t="inlineStr">
        <is>
          <t>SHP-NEXT</t>
        </is>
      </c>
      <c r="R4" s="91" t="inlineStr">
        <is>
          <t>TBC</t>
        </is>
      </c>
      <c r="S4" s="91" t="inlineStr">
        <is>
          <t>HOLD</t>
        </is>
      </c>
      <c r="T4" s="91" t="inlineStr"/>
      <c r="U4" s="91" t="inlineStr">
        <is>
          <t>derived from parent</t>
        </is>
      </c>
      <c r="V4" s="102" t="inlineStr"/>
    </row>
    <row r="5">
      <c r="A5" s="91" t="inlineStr">
        <is>
          <t>UC-HOU-URO-001-XX</t>
        </is>
      </c>
      <c r="B5" s="91" t="inlineStr">
        <is>
          <t>UC-HOU-URO-001</t>
        </is>
      </c>
      <c r="C5" s="91" t="inlineStr">
        <is>
          <t>Ultra Pure</t>
        </is>
      </c>
      <c r="D5" s="91" t="inlineStr">
        <is>
          <t>XX</t>
        </is>
      </c>
      <c r="E5" s="91" t="inlineStr">
        <is>
          <t>NONE</t>
        </is>
      </c>
      <c r="F5" s="91" t="inlineStr"/>
      <c r="G5" s="91" t="inlineStr"/>
      <c r="H5" s="91" t="inlineStr"/>
      <c r="I5" s="91" t="inlineStr"/>
      <c r="K5" s="91" t="inlineStr"/>
      <c r="L5" s="91" t="inlineStr"/>
      <c r="M5" s="91" t="inlineStr">
        <is>
          <t>ACTIVE</t>
        </is>
      </c>
      <c r="N5" s="95" t="inlineStr">
        <is>
          <t>FUTURE</t>
        </is>
      </c>
      <c r="O5" s="91" t="n">
        <v>0</v>
      </c>
      <c r="P5" s="91" t="inlineStr"/>
      <c r="Q5" s="91" t="inlineStr">
        <is>
          <t>SHP-NEXT</t>
        </is>
      </c>
      <c r="R5" s="91" t="inlineStr">
        <is>
          <t>TBC</t>
        </is>
      </c>
      <c r="S5" s="91" t="inlineStr">
        <is>
          <t>HOLD</t>
        </is>
      </c>
      <c r="T5" s="91" t="inlineStr"/>
      <c r="U5" s="91" t="inlineStr">
        <is>
          <t>derived from parent</t>
        </is>
      </c>
      <c r="V5" s="102" t="inlineStr"/>
    </row>
    <row r="6">
      <c r="A6" s="91" t="inlineStr">
        <is>
          <t>UC-HOU-URO-002-XX</t>
        </is>
      </c>
      <c r="B6" s="91" t="inlineStr">
        <is>
          <t>UC-HOU-URO-002</t>
        </is>
      </c>
      <c r="C6" s="91" t="inlineStr">
        <is>
          <t>Ultra Pure 2</t>
        </is>
      </c>
      <c r="D6" s="91" t="inlineStr">
        <is>
          <t>XX</t>
        </is>
      </c>
      <c r="E6" s="91" t="inlineStr">
        <is>
          <t>NONE</t>
        </is>
      </c>
      <c r="F6" s="91" t="inlineStr"/>
      <c r="G6" s="91" t="inlineStr"/>
      <c r="H6" s="91" t="inlineStr"/>
      <c r="I6" s="91" t="inlineStr"/>
      <c r="K6" s="91" t="inlineStr"/>
      <c r="L6" s="91" t="inlineStr"/>
      <c r="M6" s="91" t="inlineStr">
        <is>
          <t>ACTIVE</t>
        </is>
      </c>
      <c r="N6" s="95" t="inlineStr">
        <is>
          <t>FUTURE</t>
        </is>
      </c>
      <c r="O6" s="91" t="n">
        <v>0</v>
      </c>
      <c r="P6" s="91" t="inlineStr"/>
      <c r="Q6" s="91" t="inlineStr">
        <is>
          <t>SHP-NEXT</t>
        </is>
      </c>
      <c r="R6" s="91" t="inlineStr">
        <is>
          <t>TBC</t>
        </is>
      </c>
      <c r="S6" s="91" t="inlineStr">
        <is>
          <t>HOLD</t>
        </is>
      </c>
      <c r="T6" s="91" t="inlineStr"/>
      <c r="U6" s="91" t="inlineStr">
        <is>
          <t>derived from parent</t>
        </is>
      </c>
      <c r="V6" s="102" t="inlineStr"/>
    </row>
    <row r="7">
      <c r="A7" s="91" t="inlineStr">
        <is>
          <t>UC-HOU-ROS-001-XX</t>
        </is>
      </c>
      <c r="B7" s="91" t="inlineStr">
        <is>
          <t>UC-HOU-ROS-001</t>
        </is>
      </c>
      <c r="C7" s="91" t="inlineStr">
        <is>
          <t>Pure Blue</t>
        </is>
      </c>
      <c r="D7" s="91" t="inlineStr">
        <is>
          <t>XX</t>
        </is>
      </c>
      <c r="E7" s="91" t="inlineStr">
        <is>
          <t>NONE</t>
        </is>
      </c>
      <c r="F7" s="91" t="inlineStr"/>
      <c r="G7" s="91" t="inlineStr"/>
      <c r="H7" s="91" t="inlineStr"/>
      <c r="I7" s="91" t="inlineStr"/>
      <c r="K7" s="91" t="inlineStr"/>
      <c r="L7" s="91" t="inlineStr"/>
      <c r="M7" s="91" t="inlineStr">
        <is>
          <t>ACTIVE</t>
        </is>
      </c>
      <c r="N7" s="95" t="inlineStr">
        <is>
          <t>FUTURE</t>
        </is>
      </c>
      <c r="O7" s="91" t="n">
        <v>0</v>
      </c>
      <c r="P7" s="91" t="inlineStr"/>
      <c r="Q7" s="91" t="inlineStr">
        <is>
          <t>SHP-NEXT</t>
        </is>
      </c>
      <c r="R7" s="91" t="inlineStr">
        <is>
          <t>TBC</t>
        </is>
      </c>
      <c r="S7" s="91" t="inlineStr">
        <is>
          <t>HOLD</t>
        </is>
      </c>
      <c r="T7" s="91" t="inlineStr"/>
      <c r="U7" s="91" t="inlineStr">
        <is>
          <t>derived from parent</t>
        </is>
      </c>
      <c r="V7" s="102" t="inlineStr"/>
    </row>
    <row r="8">
      <c r="A8" s="91" t="inlineStr">
        <is>
          <t>UC-COM-ROS-002-XX</t>
        </is>
      </c>
      <c r="B8" s="91" t="inlineStr">
        <is>
          <t>UC-COM-ROS-002</t>
        </is>
      </c>
      <c r="C8" s="91" t="inlineStr">
        <is>
          <t>Aqua Stream 1200D</t>
        </is>
      </c>
      <c r="D8" s="91" t="inlineStr">
        <is>
          <t>XX</t>
        </is>
      </c>
      <c r="E8" s="91" t="inlineStr">
        <is>
          <t>NONE</t>
        </is>
      </c>
      <c r="F8" s="91" t="inlineStr"/>
      <c r="G8" s="91" t="inlineStr"/>
      <c r="H8" s="91" t="inlineStr"/>
      <c r="I8" s="91" t="inlineStr"/>
      <c r="K8" s="91" t="inlineStr"/>
      <c r="L8" s="91" t="inlineStr"/>
      <c r="M8" s="91" t="inlineStr">
        <is>
          <t>ACTIVE</t>
        </is>
      </c>
      <c r="N8" s="95" t="inlineStr">
        <is>
          <t>FUTURE</t>
        </is>
      </c>
      <c r="O8" s="91" t="n">
        <v>0</v>
      </c>
      <c r="P8" s="91" t="inlineStr"/>
      <c r="Q8" s="91" t="inlineStr">
        <is>
          <t>SHP-NEXT</t>
        </is>
      </c>
      <c r="R8" s="91" t="inlineStr">
        <is>
          <t>TBC</t>
        </is>
      </c>
      <c r="S8" s="91" t="inlineStr">
        <is>
          <t>HOLD</t>
        </is>
      </c>
      <c r="T8" s="91" t="inlineStr"/>
      <c r="U8" s="91" t="inlineStr">
        <is>
          <t>derived from parent</t>
        </is>
      </c>
      <c r="V8" s="102" t="inlineStr"/>
    </row>
    <row r="9">
      <c r="A9" s="91" t="inlineStr">
        <is>
          <t>UC-HOU-WPF-003-XX</t>
        </is>
      </c>
      <c r="B9" s="91" t="inlineStr">
        <is>
          <t>UC-HOU-WPF-003</t>
        </is>
      </c>
      <c r="C9" s="91" t="inlineStr">
        <is>
          <t>Pure Shield</t>
        </is>
      </c>
      <c r="D9" s="91" t="inlineStr">
        <is>
          <t>XX</t>
        </is>
      </c>
      <c r="E9" s="91" t="inlineStr">
        <is>
          <t>NONE</t>
        </is>
      </c>
      <c r="F9" s="91" t="inlineStr"/>
      <c r="G9" s="91" t="inlineStr"/>
      <c r="H9" s="91" t="inlineStr"/>
      <c r="I9" s="91" t="inlineStr"/>
      <c r="K9" s="91" t="inlineStr"/>
      <c r="L9" s="91" t="inlineStr"/>
      <c r="M9" s="91" t="inlineStr">
        <is>
          <t>ACTIVE</t>
        </is>
      </c>
      <c r="N9" s="95" t="inlineStr">
        <is>
          <t>FUTURE</t>
        </is>
      </c>
      <c r="O9" s="91" t="n">
        <v>0</v>
      </c>
      <c r="P9" s="91" t="inlineStr"/>
      <c r="Q9" s="91" t="inlineStr">
        <is>
          <t>SHP-NEXT</t>
        </is>
      </c>
      <c r="R9" s="91" t="inlineStr">
        <is>
          <t>TBC</t>
        </is>
      </c>
      <c r="S9" s="91" t="inlineStr">
        <is>
          <t>HOLD</t>
        </is>
      </c>
      <c r="T9" s="91" t="inlineStr"/>
      <c r="U9" s="91" t="inlineStr">
        <is>
          <t>derived from parent</t>
        </is>
      </c>
      <c r="V9" s="102" t="inlineStr"/>
    </row>
    <row r="10">
      <c r="A10" s="91" t="inlineStr">
        <is>
          <t>UC-HOU-USF-004-XX</t>
        </is>
      </c>
      <c r="B10" s="91" t="inlineStr">
        <is>
          <t>UC-HOU-USF-004</t>
        </is>
      </c>
      <c r="C10" s="91" t="inlineStr">
        <is>
          <t>Aqua Drop</t>
        </is>
      </c>
      <c r="D10" s="91" t="inlineStr">
        <is>
          <t>XX</t>
        </is>
      </c>
      <c r="E10" s="91" t="inlineStr">
        <is>
          <t>NONE</t>
        </is>
      </c>
      <c r="F10" s="91" t="inlineStr"/>
      <c r="G10" s="91" t="inlineStr"/>
      <c r="H10" s="91" t="inlineStr"/>
      <c r="I10" s="91" t="inlineStr"/>
      <c r="K10" s="91" t="inlineStr"/>
      <c r="L10" s="91" t="inlineStr"/>
      <c r="M10" s="91" t="inlineStr">
        <is>
          <t>ACTIVE</t>
        </is>
      </c>
      <c r="N10" s="95" t="inlineStr">
        <is>
          <t>FUTURE</t>
        </is>
      </c>
      <c r="O10" s="91" t="n">
        <v>0</v>
      </c>
      <c r="P10" s="91" t="inlineStr"/>
      <c r="Q10" s="91" t="inlineStr">
        <is>
          <t>SHP-NEXT</t>
        </is>
      </c>
      <c r="R10" s="91" t="inlineStr">
        <is>
          <t>TBC</t>
        </is>
      </c>
      <c r="S10" s="91" t="inlineStr">
        <is>
          <t>HOLD</t>
        </is>
      </c>
      <c r="T10" s="91" t="inlineStr"/>
      <c r="U10" s="91" t="inlineStr">
        <is>
          <t>derived from parent</t>
        </is>
      </c>
      <c r="V10" s="102" t="inlineStr"/>
    </row>
    <row r="11">
      <c r="A11" s="91" t="inlineStr">
        <is>
          <t>UC-HOU-TAP-005-WH</t>
        </is>
      </c>
      <c r="B11" s="91" t="inlineStr">
        <is>
          <t>UC-HOU-TAP-005</t>
        </is>
      </c>
      <c r="C11" s="91" t="inlineStr">
        <is>
          <t>Home sweet Home Filter set</t>
        </is>
      </c>
      <c r="D11" s="91" t="inlineStr">
        <is>
          <t>WH</t>
        </is>
      </c>
      <c r="E11" s="91" t="inlineStr">
        <is>
          <t>COLOUR</t>
        </is>
      </c>
      <c r="F11" s="91" t="inlineStr">
        <is>
          <t>White</t>
        </is>
      </c>
      <c r="G11" s="91" t="inlineStr"/>
      <c r="H11" s="91" t="inlineStr"/>
      <c r="I11" s="91" t="inlineStr">
        <is>
          <t>8 L/min</t>
        </is>
      </c>
      <c r="K11" s="91" t="inlineStr">
        <is>
          <t>1500 L</t>
        </is>
      </c>
      <c r="L11" s="91" t="inlineStr">
        <is>
          <t>Ahlstrom + carbon</t>
        </is>
      </c>
      <c r="M11" s="91" t="inlineStr">
        <is>
          <t>ACTIVE</t>
        </is>
      </c>
      <c r="N11" s="95" t="inlineStr">
        <is>
          <t>FUTURE</t>
        </is>
      </c>
      <c r="O11" s="91" t="n">
        <v>0</v>
      </c>
      <c r="P11" s="91" t="inlineStr"/>
      <c r="Q11" s="91" t="inlineStr">
        <is>
          <t>SHP-NEXT</t>
        </is>
      </c>
      <c r="R11" s="91" t="inlineStr">
        <is>
          <t>TBC</t>
        </is>
      </c>
      <c r="S11" s="91" t="inlineStr">
        <is>
          <t>HOLD</t>
        </is>
      </c>
      <c r="T11" s="91" t="inlineStr">
        <is>
          <t>UC-EA-KCH-SHF-FAUCET-WH-25</t>
        </is>
      </c>
      <c r="U11" s="91" t="inlineStr">
        <is>
          <t>SKU variation.csv</t>
        </is>
      </c>
      <c r="V11" s="102" t="inlineStr"/>
    </row>
    <row r="12">
      <c r="A12" s="91" t="inlineStr">
        <is>
          <t>UC-HOU-TAPF-006-WH</t>
        </is>
      </c>
      <c r="B12" s="91" t="inlineStr">
        <is>
          <t>UC-HOU-TAPF-006</t>
        </is>
      </c>
      <c r="C12" s="91" t="inlineStr">
        <is>
          <t>Home sweet Home Filter</t>
        </is>
      </c>
      <c r="D12" s="91" t="inlineStr">
        <is>
          <t>WH</t>
        </is>
      </c>
      <c r="E12" s="91" t="inlineStr">
        <is>
          <t>COLOUR</t>
        </is>
      </c>
      <c r="F12" s="91" t="inlineStr">
        <is>
          <t>White</t>
        </is>
      </c>
      <c r="G12" s="91" t="inlineStr"/>
      <c r="H12" s="91" t="inlineStr"/>
      <c r="I12" s="91" t="inlineStr"/>
      <c r="K12" s="91" t="inlineStr">
        <is>
          <t>1500 L</t>
        </is>
      </c>
      <c r="L12" s="91" t="inlineStr">
        <is>
          <t>Ahlstrom + carbon</t>
        </is>
      </c>
      <c r="M12" s="91" t="inlineStr">
        <is>
          <t>ACTIVE</t>
        </is>
      </c>
      <c r="N12" s="99" t="inlineStr">
        <is>
          <t>IN_STOCK</t>
        </is>
      </c>
      <c r="O12" s="91" t="n">
        <v>93</v>
      </c>
      <c r="P12" s="91" t="inlineStr">
        <is>
          <t>2026-03-12</t>
        </is>
      </c>
      <c r="Q12" s="91" t="inlineStr"/>
      <c r="R12" s="91" t="inlineStr"/>
      <c r="S12" s="91" t="inlineStr">
        <is>
          <t>PUBLISH</t>
        </is>
      </c>
      <c r="T12" s="91" t="inlineStr">
        <is>
          <t>UC-EA-KCH-CRT-SHF-WH-25</t>
        </is>
      </c>
      <c r="U12" s="91" t="inlineStr">
        <is>
          <t>SKU variation.csv</t>
        </is>
      </c>
      <c r="V12" s="102" t="inlineStr"/>
    </row>
    <row r="13">
      <c r="A13" s="91" t="inlineStr">
        <is>
          <t>UC-HOU-WDFS-006-WH</t>
        </is>
      </c>
      <c r="B13" s="91" t="inlineStr">
        <is>
          <t>UC-HOU-WDFS-006</t>
        </is>
      </c>
      <c r="C13" s="91" t="inlineStr">
        <is>
          <t>Wireless Dispenser Filter Set</t>
        </is>
      </c>
      <c r="D13" s="91" t="inlineStr">
        <is>
          <t>WH</t>
        </is>
      </c>
      <c r="E13" s="91" t="inlineStr">
        <is>
          <t>COLOUR</t>
        </is>
      </c>
      <c r="F13" s="91" t="inlineStr">
        <is>
          <t>White</t>
        </is>
      </c>
      <c r="G13" s="91" t="inlineStr"/>
      <c r="H13" s="91" t="inlineStr"/>
      <c r="I13" s="91" t="inlineStr"/>
      <c r="K13" s="91" t="inlineStr">
        <is>
          <t>400 L</t>
        </is>
      </c>
      <c r="L13" s="91" t="inlineStr">
        <is>
          <t>UF origami</t>
        </is>
      </c>
      <c r="M13" s="91" t="inlineStr">
        <is>
          <t>ACTIVE</t>
        </is>
      </c>
      <c r="N13" s="99" t="inlineStr">
        <is>
          <t>IN_STOCK</t>
        </is>
      </c>
      <c r="O13" s="91" t="n">
        <v>58</v>
      </c>
      <c r="P13" s="91" t="inlineStr">
        <is>
          <t>2026-03-12</t>
        </is>
      </c>
      <c r="Q13" s="91" t="inlineStr"/>
      <c r="R13" s="91" t="inlineStr"/>
      <c r="S13" s="91" t="inlineStr">
        <is>
          <t>PUBLISH</t>
        </is>
      </c>
      <c r="T13" s="91" t="inlineStr">
        <is>
          <t>UC-EA-DSP-WDS-WIRELESS-WH-25</t>
        </is>
      </c>
      <c r="U13" s="91" t="inlineStr">
        <is>
          <t>SKU variation.csv</t>
        </is>
      </c>
      <c r="V13" s="102" t="inlineStr"/>
    </row>
    <row r="14">
      <c r="A14" s="91" t="inlineStr">
        <is>
          <t>UC-HOU-DF-007-XX</t>
        </is>
      </c>
      <c r="B14" s="91" t="inlineStr">
        <is>
          <t>UC-HOU-DF-007</t>
        </is>
      </c>
      <c r="C14" s="91" t="inlineStr">
        <is>
          <t>Dispenser Filter</t>
        </is>
      </c>
      <c r="D14" s="91" t="inlineStr">
        <is>
          <t>XX</t>
        </is>
      </c>
      <c r="E14" s="91" t="inlineStr">
        <is>
          <t>NONE</t>
        </is>
      </c>
      <c r="F14" s="91" t="inlineStr"/>
      <c r="G14" s="91" t="inlineStr"/>
      <c r="H14" s="91" t="inlineStr"/>
      <c r="I14" s="91" t="inlineStr"/>
      <c r="K14" s="91" t="inlineStr"/>
      <c r="L14" s="91" t="inlineStr"/>
      <c r="M14" s="91" t="inlineStr">
        <is>
          <t>ACTIVE</t>
        </is>
      </c>
      <c r="N14" s="99" t="inlineStr">
        <is>
          <t>IN_STOCK</t>
        </is>
      </c>
      <c r="O14" s="91" t="n">
        <v>41</v>
      </c>
      <c r="P14" s="91" t="inlineStr">
        <is>
          <t>2026-03-12</t>
        </is>
      </c>
      <c r="Q14" s="91" t="inlineStr"/>
      <c r="R14" s="91" t="inlineStr"/>
      <c r="S14" s="91" t="inlineStr">
        <is>
          <t>PUBLISH</t>
        </is>
      </c>
      <c r="T14" s="91" t="inlineStr"/>
      <c r="U14" s="91" t="inlineStr">
        <is>
          <t>derived from parent</t>
        </is>
      </c>
      <c r="V14" s="102" t="inlineStr"/>
    </row>
    <row r="15">
      <c r="A15" s="91" t="inlineStr">
        <is>
          <t>UC-BOG-SSB-008-DG</t>
        </is>
      </c>
      <c r="B15" s="91" t="inlineStr">
        <is>
          <t>UC-BOG-SSB-008</t>
        </is>
      </c>
      <c r="C15" s="91" t="inlineStr">
        <is>
          <t>Hydra Flux</t>
        </is>
      </c>
      <c r="D15" s="91" t="inlineStr">
        <is>
          <t>DG</t>
        </is>
      </c>
      <c r="E15" s="91" t="inlineStr">
        <is>
          <t>COLOUR</t>
        </is>
      </c>
      <c r="F15" s="91" t="inlineStr">
        <is>
          <t>Dark Grey</t>
        </is>
      </c>
      <c r="G15" s="91" t="inlineStr"/>
      <c r="H15" s="91" t="inlineStr">
        <is>
          <t>LIMITED</t>
        </is>
      </c>
      <c r="I15" s="91" t="inlineStr">
        <is>
          <t>750 ml</t>
        </is>
      </c>
      <c r="J15" t="inlineStr">
        <is>
          <t>740 ml (BG-B01)</t>
        </is>
      </c>
      <c r="K15" s="91" t="inlineStr">
        <is>
          <t>150 L</t>
        </is>
      </c>
      <c r="L15" s="91" t="inlineStr">
        <is>
          <t>Ahlstrom + ACF</t>
        </is>
      </c>
      <c r="M15" s="91" t="inlineStr">
        <is>
          <t>ACTIVE</t>
        </is>
      </c>
      <c r="N15" s="99" t="inlineStr">
        <is>
          <t>IN_STOCK</t>
        </is>
      </c>
      <c r="O15" s="91" t="n">
        <v>5</v>
      </c>
      <c r="P15" s="91" t="inlineStr">
        <is>
          <t>2026-03-12</t>
        </is>
      </c>
      <c r="Q15" s="91" t="inlineStr"/>
      <c r="R15" s="91" t="inlineStr"/>
      <c r="S15" s="91" t="inlineStr">
        <is>
          <t>PUBLISH</t>
        </is>
      </c>
      <c r="T15" s="91" t="inlineStr">
        <is>
          <t>UC-EA-BOT-HYF-LTD-DG-750ML-25</t>
        </is>
      </c>
      <c r="U15" s="91" t="inlineStr">
        <is>
          <t>SKU variation.csv</t>
        </is>
      </c>
      <c r="V15" s="95" t="inlineStr">
        <is>
          <t>Limited colour.  QTY split evenly across variants — NOT a counted figure. Recount by variant required.</t>
        </is>
      </c>
    </row>
    <row r="16">
      <c r="A16" s="91" t="inlineStr">
        <is>
          <t>UC-BOG-SSB-008-BL</t>
        </is>
      </c>
      <c r="B16" s="91" t="inlineStr">
        <is>
          <t>UC-BOG-SSB-008</t>
        </is>
      </c>
      <c r="C16" s="91" t="inlineStr">
        <is>
          <t>Hydra Flux</t>
        </is>
      </c>
      <c r="D16" s="91" t="inlineStr">
        <is>
          <t>BL</t>
        </is>
      </c>
      <c r="E16" s="91" t="inlineStr">
        <is>
          <t>COLOUR</t>
        </is>
      </c>
      <c r="F16" s="91" t="inlineStr">
        <is>
          <t>Blue</t>
        </is>
      </c>
      <c r="G16" s="91" t="inlineStr"/>
      <c r="H16" s="91" t="inlineStr"/>
      <c r="I16" s="91" t="inlineStr">
        <is>
          <t>750 ml</t>
        </is>
      </c>
      <c r="J16" t="inlineStr">
        <is>
          <t>740 ml (BG-B01)</t>
        </is>
      </c>
      <c r="K16" s="91" t="inlineStr">
        <is>
          <t>150 L</t>
        </is>
      </c>
      <c r="L16" s="91" t="inlineStr">
        <is>
          <t>Ahlstrom + ACF</t>
        </is>
      </c>
      <c r="M16" s="91" t="inlineStr">
        <is>
          <t>ACTIVE</t>
        </is>
      </c>
      <c r="N16" s="99" t="inlineStr">
        <is>
          <t>IN_STOCK</t>
        </is>
      </c>
      <c r="O16" s="91" t="n">
        <v>5</v>
      </c>
      <c r="P16" s="91" t="inlineStr">
        <is>
          <t>2026-03-12</t>
        </is>
      </c>
      <c r="Q16" s="91" t="inlineStr"/>
      <c r="R16" s="91" t="inlineStr"/>
      <c r="S16" s="91" t="inlineStr">
        <is>
          <t>PUBLISH</t>
        </is>
      </c>
      <c r="T16" s="91" t="inlineStr">
        <is>
          <t>UC-EA-BOT-HYF-BL-750ML-25</t>
        </is>
      </c>
      <c r="U16" s="91" t="inlineStr">
        <is>
          <t>SKU variation.csv</t>
        </is>
      </c>
      <c r="V16" s="95" t="inlineStr">
        <is>
          <t>QTY split evenly across variants — NOT a counted figure. Recount by variant required.</t>
        </is>
      </c>
    </row>
    <row r="17">
      <c r="A17" s="91" t="inlineStr">
        <is>
          <t>UC-BOG-SSB-008-PK</t>
        </is>
      </c>
      <c r="B17" s="91" t="inlineStr">
        <is>
          <t>UC-BOG-SSB-008</t>
        </is>
      </c>
      <c r="C17" s="91" t="inlineStr">
        <is>
          <t>Hydra Flux</t>
        </is>
      </c>
      <c r="D17" s="91" t="inlineStr">
        <is>
          <t>PK</t>
        </is>
      </c>
      <c r="E17" s="91" t="inlineStr">
        <is>
          <t>COLOUR</t>
        </is>
      </c>
      <c r="F17" s="91" t="inlineStr">
        <is>
          <t>Pink</t>
        </is>
      </c>
      <c r="G17" s="91" t="inlineStr"/>
      <c r="H17" s="91" t="inlineStr"/>
      <c r="I17" s="91" t="inlineStr">
        <is>
          <t>750 ml</t>
        </is>
      </c>
      <c r="J17" t="inlineStr">
        <is>
          <t>740 ml (BG-B01)</t>
        </is>
      </c>
      <c r="K17" s="91" t="inlineStr">
        <is>
          <t>150 L</t>
        </is>
      </c>
      <c r="L17" s="91" t="inlineStr">
        <is>
          <t>Ahlstrom + ACF</t>
        </is>
      </c>
      <c r="M17" s="91" t="inlineStr">
        <is>
          <t>ACTIVE</t>
        </is>
      </c>
      <c r="N17" s="99" t="inlineStr">
        <is>
          <t>IN_STOCK</t>
        </is>
      </c>
      <c r="O17" s="91" t="n">
        <v>5</v>
      </c>
      <c r="P17" s="91" t="inlineStr">
        <is>
          <t>2026-03-12</t>
        </is>
      </c>
      <c r="Q17" s="91" t="inlineStr"/>
      <c r="R17" s="91" t="inlineStr"/>
      <c r="S17" s="91" t="inlineStr">
        <is>
          <t>PUBLISH</t>
        </is>
      </c>
      <c r="T17" s="91" t="inlineStr">
        <is>
          <t>UC-EA-BOT-HYF-PK-750ML-25</t>
        </is>
      </c>
      <c r="U17" s="91" t="inlineStr">
        <is>
          <t>SKU variation.csv</t>
        </is>
      </c>
      <c r="V17" s="95" t="inlineStr">
        <is>
          <t>QTY split evenly across variants — NOT a counted figure. Recount by variant required.</t>
        </is>
      </c>
    </row>
    <row r="18">
      <c r="A18" s="91" t="inlineStr">
        <is>
          <t>UC-BOG-SSB-008-GY</t>
        </is>
      </c>
      <c r="B18" s="91" t="inlineStr">
        <is>
          <t>UC-BOG-SSB-008</t>
        </is>
      </c>
      <c r="C18" s="91" t="inlineStr">
        <is>
          <t>Hydra Flux</t>
        </is>
      </c>
      <c r="D18" s="91" t="inlineStr">
        <is>
          <t>GY</t>
        </is>
      </c>
      <c r="E18" s="91" t="inlineStr">
        <is>
          <t>COLOUR</t>
        </is>
      </c>
      <c r="F18" s="91" t="inlineStr">
        <is>
          <t>Grey</t>
        </is>
      </c>
      <c r="G18" s="91" t="inlineStr"/>
      <c r="H18" s="91" t="inlineStr"/>
      <c r="I18" s="91" t="inlineStr">
        <is>
          <t>750 ml</t>
        </is>
      </c>
      <c r="J18" t="inlineStr">
        <is>
          <t>740 ml (BG-B01)</t>
        </is>
      </c>
      <c r="K18" s="91" t="inlineStr">
        <is>
          <t>150 L</t>
        </is>
      </c>
      <c r="L18" s="91" t="inlineStr">
        <is>
          <t>Ahlstrom + ACF</t>
        </is>
      </c>
      <c r="M18" s="91" t="inlineStr">
        <is>
          <t>ACTIVE</t>
        </is>
      </c>
      <c r="N18" s="99" t="inlineStr">
        <is>
          <t>IN_STOCK</t>
        </is>
      </c>
      <c r="O18" s="91" t="n">
        <v>5</v>
      </c>
      <c r="P18" s="91" t="inlineStr">
        <is>
          <t>2026-03-12</t>
        </is>
      </c>
      <c r="Q18" s="91" t="inlineStr"/>
      <c r="R18" s="91" t="inlineStr"/>
      <c r="S18" s="91" t="inlineStr">
        <is>
          <t>PUBLISH</t>
        </is>
      </c>
      <c r="T18" s="91" t="inlineStr">
        <is>
          <t>UC-EA-BOT-HYF-GY-750ML-25</t>
        </is>
      </c>
      <c r="U18" s="91" t="inlineStr">
        <is>
          <t>SKU variation.csv</t>
        </is>
      </c>
      <c r="V18" s="95" t="inlineStr">
        <is>
          <t>QTY split evenly across variants — NOT a counted figure. Recount by variant required.</t>
        </is>
      </c>
    </row>
    <row r="19">
      <c r="A19" s="91" t="inlineStr">
        <is>
          <t>UC-BOG-TRB-009-GY</t>
        </is>
      </c>
      <c r="B19" s="91" t="inlineStr">
        <is>
          <t>UC-BOG-TRB-009</t>
        </is>
      </c>
      <c r="C19" s="91" t="inlineStr">
        <is>
          <t>Truva Go</t>
        </is>
      </c>
      <c r="D19" s="91" t="inlineStr">
        <is>
          <t>GY</t>
        </is>
      </c>
      <c r="E19" s="91" t="inlineStr">
        <is>
          <t>COLOUR</t>
        </is>
      </c>
      <c r="F19" s="91" t="inlineStr">
        <is>
          <t>Grey</t>
        </is>
      </c>
      <c r="G19" s="91" t="inlineStr"/>
      <c r="H19" s="91" t="inlineStr"/>
      <c r="I19" s="91" t="inlineStr">
        <is>
          <t>750 ml</t>
        </is>
      </c>
      <c r="J19" t="inlineStr">
        <is>
          <t>769 ml (BG-B02)</t>
        </is>
      </c>
      <c r="K19" s="91" t="inlineStr">
        <is>
          <t>150 L</t>
        </is>
      </c>
      <c r="L19" s="91" t="inlineStr">
        <is>
          <t>Ahlstrom + ACF</t>
        </is>
      </c>
      <c r="M19" s="91" t="inlineStr">
        <is>
          <t>ACTIVE</t>
        </is>
      </c>
      <c r="N19" s="99" t="inlineStr">
        <is>
          <t>IN_STOCK</t>
        </is>
      </c>
      <c r="O19" s="91" t="n">
        <v>12</v>
      </c>
      <c r="P19" s="91" t="inlineStr">
        <is>
          <t>2026-03-12</t>
        </is>
      </c>
      <c r="Q19" s="91" t="inlineStr"/>
      <c r="R19" s="91" t="inlineStr"/>
      <c r="S19" s="91" t="inlineStr">
        <is>
          <t>PUBLISH</t>
        </is>
      </c>
      <c r="T19" s="91" t="inlineStr">
        <is>
          <t>UC-EA-BOT-TRG-GY-750ML-25</t>
        </is>
      </c>
      <c r="U19" s="91" t="inlineStr">
        <is>
          <t>SKU variation.csv</t>
        </is>
      </c>
      <c r="V19" s="95" t="inlineStr">
        <is>
          <t>QTY split evenly across variants — NOT a counted figure. Recount by variant required.</t>
        </is>
      </c>
    </row>
    <row r="20">
      <c r="A20" s="91" t="inlineStr">
        <is>
          <t>UC-BOG-TRB-009-PK</t>
        </is>
      </c>
      <c r="B20" s="91" t="inlineStr">
        <is>
          <t>UC-BOG-TRB-009</t>
        </is>
      </c>
      <c r="C20" s="91" t="inlineStr">
        <is>
          <t>Truva Go</t>
        </is>
      </c>
      <c r="D20" s="91" t="inlineStr">
        <is>
          <t>PK</t>
        </is>
      </c>
      <c r="E20" s="91" t="inlineStr">
        <is>
          <t>COLOUR</t>
        </is>
      </c>
      <c r="F20" s="91" t="inlineStr">
        <is>
          <t>Pink</t>
        </is>
      </c>
      <c r="G20" s="91" t="inlineStr"/>
      <c r="H20" s="91" t="inlineStr"/>
      <c r="I20" s="91" t="inlineStr">
        <is>
          <t>750 ml</t>
        </is>
      </c>
      <c r="J20" t="inlineStr">
        <is>
          <t>769 ml (BG-B02)</t>
        </is>
      </c>
      <c r="K20" s="91" t="inlineStr">
        <is>
          <t>150 L</t>
        </is>
      </c>
      <c r="L20" s="91" t="inlineStr">
        <is>
          <t>Ahlstrom + ACF</t>
        </is>
      </c>
      <c r="M20" s="91" t="inlineStr">
        <is>
          <t>ACTIVE</t>
        </is>
      </c>
      <c r="N20" s="99" t="inlineStr">
        <is>
          <t>IN_STOCK</t>
        </is>
      </c>
      <c r="O20" s="91" t="n">
        <v>12</v>
      </c>
      <c r="P20" s="91" t="inlineStr">
        <is>
          <t>2026-03-12</t>
        </is>
      </c>
      <c r="Q20" s="91" t="inlineStr"/>
      <c r="R20" s="91" t="inlineStr"/>
      <c r="S20" s="91" t="inlineStr">
        <is>
          <t>PUBLISH</t>
        </is>
      </c>
      <c r="T20" s="91" t="inlineStr">
        <is>
          <t>UC-EA-BOT-TRG-PK-750ML-25</t>
        </is>
      </c>
      <c r="U20" s="91" t="inlineStr">
        <is>
          <t>SKU variation.csv</t>
        </is>
      </c>
      <c r="V20" s="95" t="inlineStr">
        <is>
          <t>QTY split evenly across variants — NOT a counted figure. Recount by variant required.</t>
        </is>
      </c>
    </row>
    <row r="21">
      <c r="A21" s="91" t="inlineStr">
        <is>
          <t>UC-BOG-TRB-009-BL</t>
        </is>
      </c>
      <c r="B21" s="91" t="inlineStr">
        <is>
          <t>UC-BOG-TRB-009</t>
        </is>
      </c>
      <c r="C21" s="91" t="inlineStr">
        <is>
          <t>Truva Go</t>
        </is>
      </c>
      <c r="D21" s="91" t="inlineStr">
        <is>
          <t>BL</t>
        </is>
      </c>
      <c r="E21" s="91" t="inlineStr">
        <is>
          <t>COLOUR</t>
        </is>
      </c>
      <c r="F21" s="91" t="inlineStr">
        <is>
          <t>Blue</t>
        </is>
      </c>
      <c r="G21" s="91" t="inlineStr"/>
      <c r="H21" s="91" t="inlineStr"/>
      <c r="I21" s="91" t="inlineStr">
        <is>
          <t>750 ml</t>
        </is>
      </c>
      <c r="J21" t="inlineStr">
        <is>
          <t>769 ml (BG-B02)</t>
        </is>
      </c>
      <c r="K21" s="91" t="inlineStr">
        <is>
          <t>150 L</t>
        </is>
      </c>
      <c r="L21" s="91" t="inlineStr">
        <is>
          <t>Ahlstrom + ACF</t>
        </is>
      </c>
      <c r="M21" s="91" t="inlineStr">
        <is>
          <t>ACTIVE</t>
        </is>
      </c>
      <c r="N21" s="99" t="inlineStr">
        <is>
          <t>IN_STOCK</t>
        </is>
      </c>
      <c r="O21" s="91" t="n">
        <v>12</v>
      </c>
      <c r="P21" s="91" t="inlineStr">
        <is>
          <t>2026-03-12</t>
        </is>
      </c>
      <c r="Q21" s="91" t="inlineStr"/>
      <c r="R21" s="91" t="inlineStr"/>
      <c r="S21" s="91" t="inlineStr">
        <is>
          <t>PUBLISH</t>
        </is>
      </c>
      <c r="T21" s="91" t="inlineStr">
        <is>
          <t>UC-EA-BOT-TRG-BL-750ML-25</t>
        </is>
      </c>
      <c r="U21" s="91" t="inlineStr">
        <is>
          <t>SKU variation.csv</t>
        </is>
      </c>
      <c r="V21" s="95" t="inlineStr">
        <is>
          <t>QTY split evenly across variants — NOT a counted figure. Recount by variant required.</t>
        </is>
      </c>
    </row>
    <row r="22">
      <c r="A22" s="91" t="inlineStr">
        <is>
          <t>UC-BOG-TRB-010-GN</t>
        </is>
      </c>
      <c r="B22" s="91" t="inlineStr">
        <is>
          <t>UC-BOG-TRB-010</t>
        </is>
      </c>
      <c r="C22" s="91" t="inlineStr">
        <is>
          <t>Viva Drop</t>
        </is>
      </c>
      <c r="D22" s="91" t="inlineStr">
        <is>
          <t>GN</t>
        </is>
      </c>
      <c r="E22" s="91" t="inlineStr">
        <is>
          <t>COLOUR</t>
        </is>
      </c>
      <c r="F22" s="91" t="inlineStr">
        <is>
          <t>Green</t>
        </is>
      </c>
      <c r="G22" s="91" t="inlineStr"/>
      <c r="H22" s="91" t="inlineStr"/>
      <c r="I22" s="91" t="inlineStr">
        <is>
          <t>500 ml</t>
        </is>
      </c>
      <c r="K22" s="91" t="inlineStr">
        <is>
          <t>150 L</t>
        </is>
      </c>
      <c r="L22" s="91" t="inlineStr">
        <is>
          <t>Ahlstrom + ACF</t>
        </is>
      </c>
      <c r="M22" s="91" t="inlineStr">
        <is>
          <t>ACTIVE</t>
        </is>
      </c>
      <c r="N22" s="99" t="inlineStr">
        <is>
          <t>IN_STOCK</t>
        </is>
      </c>
      <c r="O22" s="91" t="n">
        <v>35</v>
      </c>
      <c r="P22" s="91" t="inlineStr">
        <is>
          <t>2026-03-12</t>
        </is>
      </c>
      <c r="Q22" s="91" t="inlineStr"/>
      <c r="R22" s="91" t="inlineStr"/>
      <c r="S22" s="91" t="inlineStr">
        <is>
          <t>PUBLISH</t>
        </is>
      </c>
      <c r="T22" s="91" t="inlineStr">
        <is>
          <t>UC-EA-BOT-VDR-GN-500ML-25</t>
        </is>
      </c>
      <c r="U22" s="91" t="inlineStr">
        <is>
          <t>SKU variation.csv</t>
        </is>
      </c>
      <c r="V22" s="95" t="inlineStr">
        <is>
          <t>QTY split evenly across variants — NOT a counted figure. Recount by variant required.</t>
        </is>
      </c>
    </row>
    <row r="23">
      <c r="A23" s="91" t="inlineStr">
        <is>
          <t>UC-BOG-TRB-010-BK</t>
        </is>
      </c>
      <c r="B23" s="91" t="inlineStr">
        <is>
          <t>UC-BOG-TRB-010</t>
        </is>
      </c>
      <c r="C23" s="91" t="inlineStr">
        <is>
          <t>Viva Drop</t>
        </is>
      </c>
      <c r="D23" s="91" t="inlineStr">
        <is>
          <t>BK</t>
        </is>
      </c>
      <c r="E23" s="91" t="inlineStr">
        <is>
          <t>COLOUR</t>
        </is>
      </c>
      <c r="F23" s="91" t="inlineStr">
        <is>
          <t>Black</t>
        </is>
      </c>
      <c r="G23" s="91" t="inlineStr"/>
      <c r="H23" s="91" t="inlineStr"/>
      <c r="I23" s="91" t="inlineStr">
        <is>
          <t>500 ml</t>
        </is>
      </c>
      <c r="K23" s="91" t="inlineStr">
        <is>
          <t>150 L</t>
        </is>
      </c>
      <c r="L23" s="91" t="inlineStr">
        <is>
          <t>Ahlstrom + ACF</t>
        </is>
      </c>
      <c r="M23" s="91" t="inlineStr">
        <is>
          <t>ACTIVE</t>
        </is>
      </c>
      <c r="N23" s="99" t="inlineStr">
        <is>
          <t>IN_STOCK</t>
        </is>
      </c>
      <c r="O23" s="91" t="n">
        <v>35</v>
      </c>
      <c r="P23" s="91" t="inlineStr">
        <is>
          <t>2026-03-12</t>
        </is>
      </c>
      <c r="Q23" s="91" t="inlineStr"/>
      <c r="R23" s="91" t="inlineStr"/>
      <c r="S23" s="91" t="inlineStr">
        <is>
          <t>PUBLISH</t>
        </is>
      </c>
      <c r="T23" s="91" t="inlineStr">
        <is>
          <t>UC-EA-BOT-VDR-BK-500ML-25</t>
        </is>
      </c>
      <c r="U23" s="91" t="inlineStr">
        <is>
          <t>SKU variation.csv</t>
        </is>
      </c>
      <c r="V23" s="95" t="inlineStr">
        <is>
          <t>QTY split evenly across variants — NOT a counted figure. Recount by variant required.</t>
        </is>
      </c>
    </row>
    <row r="24">
      <c r="A24" s="91" t="inlineStr">
        <is>
          <t>UC-BOG-TRB-011-BK</t>
        </is>
      </c>
      <c r="B24" s="91" t="inlineStr">
        <is>
          <t>UC-BOG-TRB-011</t>
        </is>
      </c>
      <c r="C24" s="91" t="inlineStr">
        <is>
          <t>Gym Buddy</t>
        </is>
      </c>
      <c r="D24" s="91" t="inlineStr">
        <is>
          <t>BK</t>
        </is>
      </c>
      <c r="E24" s="91" t="inlineStr">
        <is>
          <t>COLOUR</t>
        </is>
      </c>
      <c r="F24" s="91" t="inlineStr">
        <is>
          <t>Black</t>
        </is>
      </c>
      <c r="G24" s="91" t="inlineStr"/>
      <c r="H24" s="91" t="inlineStr"/>
      <c r="I24" s="91" t="inlineStr">
        <is>
          <t>1200 ml</t>
        </is>
      </c>
      <c r="J24" t="inlineStr">
        <is>
          <t>1000 ml (BG-B09)</t>
        </is>
      </c>
      <c r="K24" s="91" t="inlineStr">
        <is>
          <t>150 L</t>
        </is>
      </c>
      <c r="L24" s="91" t="inlineStr">
        <is>
          <t>Ahlstrom + ACF</t>
        </is>
      </c>
      <c r="M24" s="91" t="inlineStr">
        <is>
          <t>ACTIVE</t>
        </is>
      </c>
      <c r="N24" s="99" t="inlineStr">
        <is>
          <t>IN_STOCK</t>
        </is>
      </c>
      <c r="O24" s="91" t="n">
        <v>12</v>
      </c>
      <c r="P24" s="91" t="inlineStr">
        <is>
          <t>2026-03-12</t>
        </is>
      </c>
      <c r="Q24" s="91" t="inlineStr"/>
      <c r="R24" s="91" t="inlineStr"/>
      <c r="S24" s="91" t="inlineStr">
        <is>
          <t>PUBLISH</t>
        </is>
      </c>
      <c r="T24" s="91" t="inlineStr">
        <is>
          <t>UC-EA-BOT-GYM-BK-1200ML-25</t>
        </is>
      </c>
      <c r="U24" s="91" t="inlineStr">
        <is>
          <t>SKU variation.csv</t>
        </is>
      </c>
      <c r="V24" s="95" t="inlineStr">
        <is>
          <t>QTY split evenly across variants — NOT a counted figure. Recount by variant required.</t>
        </is>
      </c>
    </row>
    <row r="25">
      <c r="A25" s="91" t="inlineStr">
        <is>
          <t>UC-BOG-TRB-011-GN</t>
        </is>
      </c>
      <c r="B25" s="91" t="inlineStr">
        <is>
          <t>UC-BOG-TRB-011</t>
        </is>
      </c>
      <c r="C25" s="91" t="inlineStr">
        <is>
          <t>Gym Buddy</t>
        </is>
      </c>
      <c r="D25" s="91" t="inlineStr">
        <is>
          <t>GN</t>
        </is>
      </c>
      <c r="E25" s="91" t="inlineStr">
        <is>
          <t>COLOUR</t>
        </is>
      </c>
      <c r="F25" s="91" t="inlineStr">
        <is>
          <t>Green</t>
        </is>
      </c>
      <c r="G25" s="91" t="inlineStr"/>
      <c r="H25" s="91" t="inlineStr"/>
      <c r="I25" s="91" t="inlineStr">
        <is>
          <t>1200 ml</t>
        </is>
      </c>
      <c r="J25" t="inlineStr">
        <is>
          <t>1000 ml (BG-B09)</t>
        </is>
      </c>
      <c r="K25" s="91" t="inlineStr">
        <is>
          <t>150 L</t>
        </is>
      </c>
      <c r="L25" s="91" t="inlineStr">
        <is>
          <t>Ahlstrom + ACF</t>
        </is>
      </c>
      <c r="M25" s="91" t="inlineStr">
        <is>
          <t>ACTIVE</t>
        </is>
      </c>
      <c r="N25" s="99" t="inlineStr">
        <is>
          <t>IN_STOCK</t>
        </is>
      </c>
      <c r="O25" s="91" t="n">
        <v>12</v>
      </c>
      <c r="P25" s="91" t="inlineStr">
        <is>
          <t>2026-03-12</t>
        </is>
      </c>
      <c r="Q25" s="91" t="inlineStr"/>
      <c r="R25" s="91" t="inlineStr"/>
      <c r="S25" s="91" t="inlineStr">
        <is>
          <t>PUBLISH</t>
        </is>
      </c>
      <c r="T25" s="91" t="inlineStr">
        <is>
          <t>UC-EA-BOT-GYM-GN-1200ML-25</t>
        </is>
      </c>
      <c r="U25" s="91" t="inlineStr">
        <is>
          <t>SKU variation.csv</t>
        </is>
      </c>
      <c r="V25" s="95" t="inlineStr">
        <is>
          <t>QTY split evenly across variants — NOT a counted figure. Recount by variant required.</t>
        </is>
      </c>
    </row>
    <row r="26">
      <c r="A26" s="91" t="inlineStr">
        <is>
          <t>UC-BOG-FLB-012-XX</t>
        </is>
      </c>
      <c r="B26" s="91" t="inlineStr">
        <is>
          <t>UC-BOG-FLB-012</t>
        </is>
      </c>
      <c r="C26" s="91" t="inlineStr">
        <is>
          <t>Timbo</t>
        </is>
      </c>
      <c r="D26" s="91" t="inlineStr">
        <is>
          <t>XX</t>
        </is>
      </c>
      <c r="E26" s="91" t="inlineStr">
        <is>
          <t>NONE</t>
        </is>
      </c>
      <c r="F26" s="91" t="inlineStr"/>
      <c r="G26" s="91" t="inlineStr"/>
      <c r="H26" s="91" t="inlineStr"/>
      <c r="I26" s="91" t="inlineStr">
        <is>
          <t>350 ml</t>
        </is>
      </c>
      <c r="K26" s="91" t="inlineStr"/>
      <c r="L26" s="91" t="inlineStr"/>
      <c r="M26" s="91" t="inlineStr">
        <is>
          <t>ACTIVE</t>
        </is>
      </c>
      <c r="N26" s="99" t="inlineStr">
        <is>
          <t>IN_STOCK</t>
        </is>
      </c>
      <c r="O26" s="91" t="n">
        <v>3</v>
      </c>
      <c r="P26" s="91" t="inlineStr">
        <is>
          <t>2026-03-12</t>
        </is>
      </c>
      <c r="Q26" s="91" t="inlineStr"/>
      <c r="R26" s="91" t="inlineStr"/>
      <c r="S26" s="91" t="inlineStr">
        <is>
          <t>PUBLISH</t>
        </is>
      </c>
      <c r="T26" s="91" t="inlineStr"/>
      <c r="U26" s="91" t="inlineStr">
        <is>
          <t>derived from parent</t>
        </is>
      </c>
      <c r="V26" s="102" t="inlineStr"/>
    </row>
    <row r="27">
      <c r="A27" s="91" t="inlineStr">
        <is>
          <t>UC-BOG-SQB-013-XX</t>
        </is>
      </c>
      <c r="B27" s="91" t="inlineStr">
        <is>
          <t>UC-BOG-SQB-013</t>
        </is>
      </c>
      <c r="C27" s="91" t="inlineStr">
        <is>
          <t>Breeze</t>
        </is>
      </c>
      <c r="D27" s="91" t="inlineStr">
        <is>
          <t>XX</t>
        </is>
      </c>
      <c r="E27" s="91" t="inlineStr">
        <is>
          <t>NONE</t>
        </is>
      </c>
      <c r="F27" s="91" t="inlineStr"/>
      <c r="G27" s="91" t="inlineStr"/>
      <c r="H27" s="91" t="inlineStr"/>
      <c r="I27" s="91" t="inlineStr">
        <is>
          <t>600 ml</t>
        </is>
      </c>
      <c r="K27" s="91" t="inlineStr"/>
      <c r="L27" s="91" t="inlineStr"/>
      <c r="M27" s="91" t="inlineStr">
        <is>
          <t>ACTIVE</t>
        </is>
      </c>
      <c r="N27" s="95" t="inlineStr">
        <is>
          <t>FUTURE</t>
        </is>
      </c>
      <c r="O27" s="91" t="n">
        <v>0</v>
      </c>
      <c r="P27" s="91" t="inlineStr"/>
      <c r="Q27" s="91" t="inlineStr">
        <is>
          <t>SHP-NEXT</t>
        </is>
      </c>
      <c r="R27" s="91" t="inlineStr">
        <is>
          <t>TBC</t>
        </is>
      </c>
      <c r="S27" s="91" t="inlineStr">
        <is>
          <t>HOLD</t>
        </is>
      </c>
      <c r="T27" s="91" t="inlineStr"/>
      <c r="U27" s="91" t="inlineStr">
        <is>
          <t>derived from parent</t>
        </is>
      </c>
      <c r="V27" s="102" t="inlineStr"/>
    </row>
    <row r="28">
      <c r="A28" s="91" t="inlineStr">
        <is>
          <t>UC-BOG-SQB-014-PK</t>
        </is>
      </c>
      <c r="B28" s="91" t="inlineStr">
        <is>
          <t>UC-BOG-SQB-014</t>
        </is>
      </c>
      <c r="C28" s="91" t="inlineStr">
        <is>
          <t>Flex</t>
        </is>
      </c>
      <c r="D28" s="91" t="inlineStr">
        <is>
          <t>PK</t>
        </is>
      </c>
      <c r="E28" s="91" t="inlineStr">
        <is>
          <t>COLOUR</t>
        </is>
      </c>
      <c r="F28" s="91" t="inlineStr">
        <is>
          <t>Pink</t>
        </is>
      </c>
      <c r="G28" s="91" t="inlineStr"/>
      <c r="H28" s="91" t="inlineStr"/>
      <c r="I28" s="91" t="inlineStr">
        <is>
          <t>1000 ml</t>
        </is>
      </c>
      <c r="K28" s="91" t="inlineStr">
        <is>
          <t>150 L</t>
        </is>
      </c>
      <c r="L28" s="91" t="inlineStr">
        <is>
          <t>Ahlstrom + ACF</t>
        </is>
      </c>
      <c r="M28" s="91" t="inlineStr">
        <is>
          <t>ACTIVE</t>
        </is>
      </c>
      <c r="N28" s="99" t="inlineStr">
        <is>
          <t>IN_STOCK</t>
        </is>
      </c>
      <c r="O28" s="91" t="n">
        <v>38</v>
      </c>
      <c r="P28" s="91" t="inlineStr">
        <is>
          <t>2026-03-12</t>
        </is>
      </c>
      <c r="Q28" s="91" t="inlineStr"/>
      <c r="R28" s="91" t="inlineStr"/>
      <c r="S28" s="91" t="inlineStr">
        <is>
          <t>PUBLISH</t>
        </is>
      </c>
      <c r="T28" s="91" t="inlineStr">
        <is>
          <t>UC-EA-BOT-FLX-PK-1000ML-25</t>
        </is>
      </c>
      <c r="U28" s="91" t="inlineStr">
        <is>
          <t>SKU variation.csv</t>
        </is>
      </c>
      <c r="V28" s="95" t="inlineStr">
        <is>
          <t>QTY split evenly across variants — NOT a counted figure. Recount by variant required.</t>
        </is>
      </c>
    </row>
    <row r="29">
      <c r="A29" s="91" t="inlineStr">
        <is>
          <t>UC-BOG-SQB-014-GY</t>
        </is>
      </c>
      <c r="B29" s="91" t="inlineStr">
        <is>
          <t>UC-BOG-SQB-014</t>
        </is>
      </c>
      <c r="C29" s="91" t="inlineStr">
        <is>
          <t>Flex</t>
        </is>
      </c>
      <c r="D29" s="91" t="inlineStr">
        <is>
          <t>GY</t>
        </is>
      </c>
      <c r="E29" s="91" t="inlineStr">
        <is>
          <t>COLOUR</t>
        </is>
      </c>
      <c r="F29" s="91" t="inlineStr">
        <is>
          <t>Grey</t>
        </is>
      </c>
      <c r="G29" s="91" t="inlineStr"/>
      <c r="H29" s="91" t="inlineStr"/>
      <c r="I29" s="91" t="inlineStr">
        <is>
          <t>1000 ml</t>
        </is>
      </c>
      <c r="K29" s="91" t="inlineStr">
        <is>
          <t>150 L</t>
        </is>
      </c>
      <c r="L29" s="91" t="inlineStr">
        <is>
          <t>Ahlstrom + ACF</t>
        </is>
      </c>
      <c r="M29" s="91" t="inlineStr">
        <is>
          <t>ACTIVE</t>
        </is>
      </c>
      <c r="N29" s="99" t="inlineStr">
        <is>
          <t>IN_STOCK</t>
        </is>
      </c>
      <c r="O29" s="91" t="n">
        <v>38</v>
      </c>
      <c r="P29" s="91" t="inlineStr">
        <is>
          <t>2026-03-12</t>
        </is>
      </c>
      <c r="Q29" s="91" t="inlineStr"/>
      <c r="R29" s="91" t="inlineStr"/>
      <c r="S29" s="91" t="inlineStr">
        <is>
          <t>PUBLISH</t>
        </is>
      </c>
      <c r="T29" s="91" t="inlineStr">
        <is>
          <t>UC-EA-BOT-FLX-GY-1000ML-25</t>
        </is>
      </c>
      <c r="U29" s="91" t="inlineStr">
        <is>
          <t>SKU variation.csv</t>
        </is>
      </c>
      <c r="V29" s="95" t="inlineStr">
        <is>
          <t>QTY split evenly across variants — NOT a counted figure. Recount by variant required.</t>
        </is>
      </c>
    </row>
    <row r="30">
      <c r="A30" s="91" t="inlineStr">
        <is>
          <t>UC-BOG-UF-100-XX</t>
        </is>
      </c>
      <c r="B30" s="91" t="inlineStr">
        <is>
          <t>UC-BOG-UF-100</t>
        </is>
      </c>
      <c r="C30" s="91" t="inlineStr">
        <is>
          <t>Ultra Fold</t>
        </is>
      </c>
      <c r="D30" s="91" t="inlineStr">
        <is>
          <t>XX</t>
        </is>
      </c>
      <c r="E30" s="91" t="inlineStr">
        <is>
          <t>NONE</t>
        </is>
      </c>
      <c r="F30" s="91" t="inlineStr"/>
      <c r="G30" s="91" t="inlineStr"/>
      <c r="H30" s="91" t="inlineStr"/>
      <c r="I30" s="91" t="inlineStr"/>
      <c r="K30" s="91" t="inlineStr"/>
      <c r="L30" s="91" t="inlineStr"/>
      <c r="M30" s="91" t="inlineStr">
        <is>
          <t>ACTIVE</t>
        </is>
      </c>
      <c r="N30" s="95" t="inlineStr">
        <is>
          <t>FUTURE</t>
        </is>
      </c>
      <c r="O30" s="91" t="n">
        <v>0</v>
      </c>
      <c r="P30" s="91" t="inlineStr"/>
      <c r="Q30" s="91" t="inlineStr">
        <is>
          <t>SHP-NEXT</t>
        </is>
      </c>
      <c r="R30" s="91" t="inlineStr">
        <is>
          <t>TBC</t>
        </is>
      </c>
      <c r="S30" s="91" t="inlineStr">
        <is>
          <t>HOLD</t>
        </is>
      </c>
      <c r="T30" s="91" t="inlineStr"/>
      <c r="U30" s="91" t="inlineStr">
        <is>
          <t>derived from parent</t>
        </is>
      </c>
      <c r="V30" s="102" t="inlineStr"/>
    </row>
    <row r="31">
      <c r="A31" s="91" t="inlineStr">
        <is>
          <t>UC-BOG-FCA-015-XX</t>
        </is>
      </c>
      <c r="B31" s="91" t="inlineStr">
        <is>
          <t>UC-BOG-FCA-015</t>
        </is>
      </c>
      <c r="C31" s="91" t="inlineStr">
        <is>
          <t>Filter Squeeze Ahlstrom</t>
        </is>
      </c>
      <c r="D31" s="91" t="inlineStr">
        <is>
          <t>XX</t>
        </is>
      </c>
      <c r="E31" s="91" t="inlineStr">
        <is>
          <t>NONE</t>
        </is>
      </c>
      <c r="F31" s="91" t="inlineStr"/>
      <c r="G31" s="91" t="inlineStr"/>
      <c r="H31" s="91" t="inlineStr"/>
      <c r="I31" s="91" t="inlineStr"/>
      <c r="K31" s="91" t="inlineStr"/>
      <c r="L31" s="91" t="inlineStr"/>
      <c r="M31" s="91" t="inlineStr">
        <is>
          <t>ACTIVE</t>
        </is>
      </c>
      <c r="N31" s="99" t="inlineStr">
        <is>
          <t>IN_STOCK</t>
        </is>
      </c>
      <c r="O31" s="91" t="n">
        <v>351</v>
      </c>
      <c r="P31" s="91" t="inlineStr">
        <is>
          <t>2026-03-12</t>
        </is>
      </c>
      <c r="Q31" s="91" t="inlineStr"/>
      <c r="R31" s="91" t="inlineStr"/>
      <c r="S31" s="91" t="inlineStr">
        <is>
          <t>PUBLISH</t>
        </is>
      </c>
      <c r="T31" s="91" t="inlineStr"/>
      <c r="U31" s="91" t="inlineStr">
        <is>
          <t>derived from parent</t>
        </is>
      </c>
      <c r="V31" s="102" t="inlineStr"/>
    </row>
    <row r="32">
      <c r="A32" s="91" t="inlineStr">
        <is>
          <t>UC-BOG-FST-016-BL</t>
        </is>
      </c>
      <c r="B32" s="91" t="inlineStr">
        <is>
          <t>UC-BOG-FST-016</t>
        </is>
      </c>
      <c r="C32" s="91" t="inlineStr">
        <is>
          <t>Survivor</t>
        </is>
      </c>
      <c r="D32" s="91" t="inlineStr">
        <is>
          <t>BL</t>
        </is>
      </c>
      <c r="E32" s="91" t="inlineStr">
        <is>
          <t>COLOUR</t>
        </is>
      </c>
      <c r="F32" s="91" t="inlineStr">
        <is>
          <t>Blue</t>
        </is>
      </c>
      <c r="G32" s="91" t="inlineStr"/>
      <c r="H32" s="91" t="inlineStr"/>
      <c r="I32" s="91" t="inlineStr"/>
      <c r="K32" s="91" t="inlineStr">
        <is>
          <t>300 L</t>
        </is>
      </c>
      <c r="L32" s="91" t="inlineStr">
        <is>
          <t>UF membrane</t>
        </is>
      </c>
      <c r="M32" s="91" t="inlineStr">
        <is>
          <t>ACTIVE</t>
        </is>
      </c>
      <c r="N32" s="99" t="inlineStr">
        <is>
          <t>IN_STOCK</t>
        </is>
      </c>
      <c r="O32" s="91" t="n">
        <v>17</v>
      </c>
      <c r="P32" s="91" t="inlineStr">
        <is>
          <t>2026-03-12</t>
        </is>
      </c>
      <c r="Q32" s="91" t="inlineStr"/>
      <c r="R32" s="91" t="inlineStr"/>
      <c r="S32" s="91" t="inlineStr">
        <is>
          <t>PUBLISH</t>
        </is>
      </c>
      <c r="T32" s="91" t="inlineStr">
        <is>
          <t>UC-EA-BOT-SVS-BL-25</t>
        </is>
      </c>
      <c r="U32" s="91" t="inlineStr">
        <is>
          <t>SKU variation.csv</t>
        </is>
      </c>
      <c r="V32" s="95" t="inlineStr">
        <is>
          <t>QTY split evenly across variants — NOT a counted figure. Recount by variant required.</t>
        </is>
      </c>
    </row>
    <row r="33">
      <c r="A33" s="91" t="inlineStr">
        <is>
          <t>UC-BOG-FST-016-OR</t>
        </is>
      </c>
      <c r="B33" s="91" t="inlineStr">
        <is>
          <t>UC-BOG-FST-016</t>
        </is>
      </c>
      <c r="C33" s="91" t="inlineStr">
        <is>
          <t>Survivor</t>
        </is>
      </c>
      <c r="D33" s="91" t="inlineStr">
        <is>
          <t>OR</t>
        </is>
      </c>
      <c r="E33" s="91" t="inlineStr">
        <is>
          <t>COLOUR</t>
        </is>
      </c>
      <c r="F33" s="91" t="inlineStr">
        <is>
          <t>Orange</t>
        </is>
      </c>
      <c r="G33" s="91" t="inlineStr"/>
      <c r="H33" s="91" t="inlineStr"/>
      <c r="I33" s="91" t="inlineStr"/>
      <c r="K33" s="91" t="inlineStr">
        <is>
          <t>300 L</t>
        </is>
      </c>
      <c r="L33" s="91" t="inlineStr">
        <is>
          <t>UF membrane</t>
        </is>
      </c>
      <c r="M33" s="91" t="inlineStr">
        <is>
          <t>ACTIVE</t>
        </is>
      </c>
      <c r="N33" s="99" t="inlineStr">
        <is>
          <t>IN_STOCK</t>
        </is>
      </c>
      <c r="O33" s="91" t="n">
        <v>17</v>
      </c>
      <c r="P33" s="91" t="inlineStr">
        <is>
          <t>2026-03-12</t>
        </is>
      </c>
      <c r="Q33" s="91" t="inlineStr"/>
      <c r="R33" s="91" t="inlineStr"/>
      <c r="S33" s="91" t="inlineStr">
        <is>
          <t>PUBLISH</t>
        </is>
      </c>
      <c r="T33" s="91" t="inlineStr">
        <is>
          <t>UC-EA-BOT-SVS-OR-25</t>
        </is>
      </c>
      <c r="U33" s="91" t="inlineStr">
        <is>
          <t>SKU variation.csv</t>
        </is>
      </c>
      <c r="V33" s="95" t="inlineStr">
        <is>
          <t>QTY split evenly across variants — NOT a counted figure. Recount by variant required.</t>
        </is>
      </c>
    </row>
    <row r="34">
      <c r="A34" s="91" t="inlineStr">
        <is>
          <t>UC-BOG-FCS-017-XX</t>
        </is>
      </c>
      <c r="B34" s="91" t="inlineStr">
        <is>
          <t>UC-BOG-FCS-017</t>
        </is>
      </c>
      <c r="C34" s="91" t="inlineStr">
        <is>
          <t>Survivor  filter</t>
        </is>
      </c>
      <c r="D34" s="91" t="inlineStr">
        <is>
          <t>XX</t>
        </is>
      </c>
      <c r="E34" s="91" t="inlineStr">
        <is>
          <t>NONE</t>
        </is>
      </c>
      <c r="F34" s="91" t="inlineStr"/>
      <c r="G34" s="91" t="inlineStr"/>
      <c r="H34" s="91" t="inlineStr"/>
      <c r="I34" s="91" t="inlineStr"/>
      <c r="K34" s="91" t="inlineStr"/>
      <c r="L34" s="91" t="inlineStr"/>
      <c r="M34" s="91" t="inlineStr">
        <is>
          <t>ACTIVE</t>
        </is>
      </c>
      <c r="N34" s="95" t="inlineStr">
        <is>
          <t>FUTURE</t>
        </is>
      </c>
      <c r="O34" s="91" t="n">
        <v>0</v>
      </c>
      <c r="P34" s="91" t="inlineStr"/>
      <c r="Q34" s="91" t="inlineStr">
        <is>
          <t>SHP-NEXT</t>
        </is>
      </c>
      <c r="R34" s="91" t="inlineStr">
        <is>
          <t>TBC</t>
        </is>
      </c>
      <c r="S34" s="91" t="inlineStr">
        <is>
          <t>HOLD</t>
        </is>
      </c>
      <c r="T34" s="91" t="inlineStr"/>
      <c r="U34" s="91" t="inlineStr">
        <is>
          <t>derived from parent</t>
        </is>
      </c>
      <c r="V34" s="102" t="inlineStr"/>
    </row>
    <row r="35">
      <c r="A35" s="91" t="inlineStr">
        <is>
          <t>UC-BOG-SHL-018-XX</t>
        </is>
      </c>
      <c r="B35" s="91" t="inlineStr">
        <is>
          <t>UC-BOG-SHL-018</t>
        </is>
      </c>
      <c r="C35" s="91" t="inlineStr">
        <is>
          <t>Shell</t>
        </is>
      </c>
      <c r="D35" s="91" t="inlineStr">
        <is>
          <t>XX</t>
        </is>
      </c>
      <c r="E35" s="91" t="inlineStr">
        <is>
          <t>NONE</t>
        </is>
      </c>
      <c r="F35" s="91" t="inlineStr"/>
      <c r="G35" s="91" t="inlineStr"/>
      <c r="H35" s="91" t="inlineStr"/>
      <c r="I35" s="91" t="inlineStr"/>
      <c r="K35" s="91" t="inlineStr"/>
      <c r="L35" s="91" t="inlineStr"/>
      <c r="M35" s="91" t="inlineStr">
        <is>
          <t>ACTIVE</t>
        </is>
      </c>
      <c r="N35" s="99" t="inlineStr">
        <is>
          <t>IN_STOCK</t>
        </is>
      </c>
      <c r="O35" s="91" t="n">
        <v>50</v>
      </c>
      <c r="P35" s="91" t="inlineStr">
        <is>
          <t>2026-03-12</t>
        </is>
      </c>
      <c r="Q35" s="91" t="inlineStr"/>
      <c r="R35" s="91" t="inlineStr"/>
      <c r="S35" s="91" t="inlineStr">
        <is>
          <t>PUBLISH</t>
        </is>
      </c>
      <c r="T35" s="91" t="inlineStr"/>
      <c r="U35" s="91" t="inlineStr">
        <is>
          <t>derived from parent</t>
        </is>
      </c>
      <c r="V35" s="102" t="inlineStr"/>
    </row>
    <row r="36">
      <c r="A36" s="91" t="inlineStr">
        <is>
          <t>UC-SKW-SHF-019-WH</t>
        </is>
      </c>
      <c r="B36" s="91" t="inlineStr">
        <is>
          <t>UC-SKW-SHF-019</t>
        </is>
      </c>
      <c r="C36" s="91" t="inlineStr">
        <is>
          <t>Chanel</t>
        </is>
      </c>
      <c r="D36" s="91" t="inlineStr">
        <is>
          <t>WH</t>
        </is>
      </c>
      <c r="E36" s="91" t="inlineStr">
        <is>
          <t>COLOUR</t>
        </is>
      </c>
      <c r="F36" s="91" t="inlineStr">
        <is>
          <t>White</t>
        </is>
      </c>
      <c r="G36" s="91" t="inlineStr">
        <is>
          <t>Ceramic</t>
        </is>
      </c>
      <c r="H36" s="91" t="inlineStr"/>
      <c r="I36" s="91" t="inlineStr">
        <is>
          <t>8 L/min</t>
        </is>
      </c>
      <c r="K36" s="91" t="inlineStr">
        <is>
          <t>20000 L</t>
        </is>
      </c>
      <c r="L36" s="91" t="inlineStr">
        <is>
          <t>PP+ACF+carbon+KDF+Vit C</t>
        </is>
      </c>
      <c r="M36" s="91" t="inlineStr">
        <is>
          <t>ACTIVE</t>
        </is>
      </c>
      <c r="N36" s="99" t="inlineStr">
        <is>
          <t>IN_STOCK</t>
        </is>
      </c>
      <c r="O36" s="91" t="n">
        <v>60</v>
      </c>
      <c r="P36" s="91" t="inlineStr">
        <is>
          <t>2026-03-12</t>
        </is>
      </c>
      <c r="Q36" s="91" t="inlineStr"/>
      <c r="R36" s="91" t="inlineStr"/>
      <c r="S36" s="91" t="inlineStr">
        <is>
          <t>PUBLISH</t>
        </is>
      </c>
      <c r="T36" s="91" t="inlineStr">
        <is>
          <t>UC-EA-SHW-CHN-CERAMIC-WH-25</t>
        </is>
      </c>
      <c r="U36" s="91" t="inlineStr">
        <is>
          <t>SKU variation.csv</t>
        </is>
      </c>
      <c r="V36" s="95" t="inlineStr">
        <is>
          <t>Manual start-date dial on Chanel.</t>
        </is>
      </c>
    </row>
    <row r="37">
      <c r="A37" s="91" t="inlineStr">
        <is>
          <t>UC-SKW-SHF-020-WH</t>
        </is>
      </c>
      <c r="B37" s="91" t="inlineStr">
        <is>
          <t>UC-SKW-SHF-020</t>
        </is>
      </c>
      <c r="C37" s="91" t="inlineStr">
        <is>
          <t>Derma Care</t>
        </is>
      </c>
      <c r="D37" s="91" t="inlineStr">
        <is>
          <t>WH</t>
        </is>
      </c>
      <c r="E37" s="91" t="inlineStr">
        <is>
          <t>COLOUR</t>
        </is>
      </c>
      <c r="F37" s="91" t="inlineStr">
        <is>
          <t>White</t>
        </is>
      </c>
      <c r="G37" s="91" t="inlineStr">
        <is>
          <t>Tritan</t>
        </is>
      </c>
      <c r="H37" s="91" t="inlineStr"/>
      <c r="I37" s="91" t="inlineStr">
        <is>
          <t>8 L/min</t>
        </is>
      </c>
      <c r="K37" s="91" t="inlineStr">
        <is>
          <t>20000 L</t>
        </is>
      </c>
      <c r="L37" s="91" t="inlineStr">
        <is>
          <t>PP+ACF+carbon+KDF+Vit C</t>
        </is>
      </c>
      <c r="M37" s="91" t="inlineStr">
        <is>
          <t>ACTIVE</t>
        </is>
      </c>
      <c r="N37" s="99" t="inlineStr">
        <is>
          <t>IN_STOCK</t>
        </is>
      </c>
      <c r="O37" s="91" t="n">
        <v>50</v>
      </c>
      <c r="P37" s="91" t="inlineStr">
        <is>
          <t>2026-03-12</t>
        </is>
      </c>
      <c r="Q37" s="91" t="inlineStr"/>
      <c r="R37" s="91" t="inlineStr"/>
      <c r="S37" s="91" t="inlineStr">
        <is>
          <t>PUBLISH</t>
        </is>
      </c>
      <c r="T37" s="91" t="inlineStr">
        <is>
          <t>UC-EA-SHW-DRC-TRITAN-WH-25</t>
        </is>
      </c>
      <c r="U37" s="91" t="inlineStr">
        <is>
          <t>SKU variation.csv</t>
        </is>
      </c>
      <c r="V37" s="102" t="inlineStr"/>
    </row>
    <row r="38">
      <c r="A38" s="91" t="inlineStr">
        <is>
          <t>UC-SKW-SHF-021-SS</t>
        </is>
      </c>
      <c r="B38" s="91" t="inlineStr">
        <is>
          <t>UC-SKW-SHF-021</t>
        </is>
      </c>
      <c r="C38" s="91" t="inlineStr">
        <is>
          <t>J'adore</t>
        </is>
      </c>
      <c r="D38" s="91" t="inlineStr">
        <is>
          <t>SS</t>
        </is>
      </c>
      <c r="E38" s="91" t="inlineStr">
        <is>
          <t>FINISH</t>
        </is>
      </c>
      <c r="F38" s="91" t="inlineStr"/>
      <c r="G38" s="91" t="inlineStr">
        <is>
          <t>Stainless</t>
        </is>
      </c>
      <c r="H38" s="91" t="inlineStr"/>
      <c r="I38" s="91" t="inlineStr">
        <is>
          <t>8 L/min</t>
        </is>
      </c>
      <c r="K38" s="91" t="inlineStr">
        <is>
          <t>20000 L</t>
        </is>
      </c>
      <c r="L38" s="91" t="inlineStr">
        <is>
          <t>PP+ACF+carbon+KDF+Vit C</t>
        </is>
      </c>
      <c r="M38" s="91" t="inlineStr">
        <is>
          <t>ACTIVE</t>
        </is>
      </c>
      <c r="N38" s="99" t="inlineStr">
        <is>
          <t>IN_STOCK</t>
        </is>
      </c>
      <c r="O38" s="91" t="n">
        <v>65</v>
      </c>
      <c r="P38" s="91" t="inlineStr">
        <is>
          <t>2026-03-12</t>
        </is>
      </c>
      <c r="Q38" s="91" t="inlineStr"/>
      <c r="R38" s="91" t="inlineStr"/>
      <c r="S38" s="91" t="inlineStr">
        <is>
          <t>PUBLISH</t>
        </is>
      </c>
      <c r="T38" s="91" t="inlineStr">
        <is>
          <t>UC-EA-SHW-JAD-STAINLESS-SS-25</t>
        </is>
      </c>
      <c r="U38" s="91" t="inlineStr">
        <is>
          <t>SKU variation.csv</t>
        </is>
      </c>
      <c r="V38" s="102" t="inlineStr"/>
    </row>
    <row r="39">
      <c r="A39" s="91" t="inlineStr">
        <is>
          <t>UC-SKW-SHF-022-WH</t>
        </is>
      </c>
      <c r="B39" s="91" t="inlineStr">
        <is>
          <t>UC-SKW-SHF-022</t>
        </is>
      </c>
      <c r="C39" s="91" t="inlineStr">
        <is>
          <t>Pure Drop</t>
        </is>
      </c>
      <c r="D39" s="91" t="inlineStr">
        <is>
          <t>WH</t>
        </is>
      </c>
      <c r="E39" s="91" t="inlineStr">
        <is>
          <t>COLOUR</t>
        </is>
      </c>
      <c r="F39" s="91" t="inlineStr">
        <is>
          <t>White</t>
        </is>
      </c>
      <c r="G39" s="91" t="inlineStr"/>
      <c r="H39" s="91" t="inlineStr"/>
      <c r="I39" s="91" t="inlineStr">
        <is>
          <t>8 L/min</t>
        </is>
      </c>
      <c r="K39" s="91" t="inlineStr">
        <is>
          <t>20000 L</t>
        </is>
      </c>
      <c r="L39" s="91" t="inlineStr">
        <is>
          <t>PP+ACF+carbon+KDF+Vit C</t>
        </is>
      </c>
      <c r="M39" s="91" t="inlineStr">
        <is>
          <t>ACTIVE</t>
        </is>
      </c>
      <c r="N39" s="99" t="inlineStr">
        <is>
          <t>IN_STOCK</t>
        </is>
      </c>
      <c r="O39" s="91" t="n">
        <v>10</v>
      </c>
      <c r="P39" s="91" t="inlineStr">
        <is>
          <t>2026-03-12</t>
        </is>
      </c>
      <c r="Q39" s="91" t="inlineStr"/>
      <c r="R39" s="91" t="inlineStr"/>
      <c r="S39" s="91" t="inlineStr">
        <is>
          <t>PUBLISH</t>
        </is>
      </c>
      <c r="T39" s="91" t="inlineStr">
        <is>
          <t>UC-EA-SHW-PRD-FIXED-WH-25</t>
        </is>
      </c>
      <c r="U39" s="91" t="inlineStr">
        <is>
          <t>SKU variation.csv</t>
        </is>
      </c>
      <c r="V39" s="102" t="inlineStr"/>
    </row>
    <row r="40">
      <c r="A40" s="91" t="inlineStr">
        <is>
          <t>UC-SKW-SHC-023-XX</t>
        </is>
      </c>
      <c r="B40" s="91" t="inlineStr">
        <is>
          <t>UC-SKW-SHC-023</t>
        </is>
      </c>
      <c r="C40" s="91" t="inlineStr">
        <is>
          <t>Shower Filter</t>
        </is>
      </c>
      <c r="D40" s="91" t="inlineStr">
        <is>
          <t>XX</t>
        </is>
      </c>
      <c r="E40" s="91" t="inlineStr">
        <is>
          <t>NONE</t>
        </is>
      </c>
      <c r="F40" s="91" t="inlineStr"/>
      <c r="G40" s="91" t="inlineStr"/>
      <c r="H40" s="91" t="inlineStr"/>
      <c r="I40" s="91" t="inlineStr"/>
      <c r="K40" s="91" t="inlineStr">
        <is>
          <t>20000 L</t>
        </is>
      </c>
      <c r="L40" s="91" t="inlineStr">
        <is>
          <t>ACF+carbon+KDF+Vit C</t>
        </is>
      </c>
      <c r="M40" s="91" t="inlineStr">
        <is>
          <t>ACTIVE</t>
        </is>
      </c>
      <c r="N40" s="99" t="inlineStr">
        <is>
          <t>IN_STOCK</t>
        </is>
      </c>
      <c r="O40" s="91" t="n">
        <v>94</v>
      </c>
      <c r="P40" s="91" t="inlineStr">
        <is>
          <t>2026-03-12</t>
        </is>
      </c>
      <c r="Q40" s="91" t="inlineStr"/>
      <c r="R40" s="91" t="inlineStr"/>
      <c r="S40" s="91" t="inlineStr">
        <is>
          <t>PUBLISH</t>
        </is>
      </c>
      <c r="T40" s="91" t="inlineStr">
        <is>
          <t>UC-EA-SHW-CRT-JAD-WH-25 / -CHN- / -DRC- (all three)</t>
        </is>
      </c>
      <c r="U40" s="91" t="inlineStr">
        <is>
          <t>SKU variation.csv</t>
        </is>
      </c>
      <c r="V40" s="102" t="inlineStr">
        <is>
          <t>RULED 21 Sep 2026: one cartridge fits all replaceable shower types. Legacy keys UC-EA-SHW-CRT-JAD / -CHN / -DRC all map here.</t>
        </is>
      </c>
    </row>
    <row r="41">
      <c r="A41" s="91" t="inlineStr">
        <is>
          <t>UC-SKW-DFS-024-WH</t>
        </is>
      </c>
      <c r="B41" s="91" t="inlineStr">
        <is>
          <t>UC-SKW-DFS-024</t>
        </is>
      </c>
      <c r="C41" s="91" t="inlineStr">
        <is>
          <t>Derma Flux</t>
        </is>
      </c>
      <c r="D41" s="91" t="inlineStr">
        <is>
          <t>WH</t>
        </is>
      </c>
      <c r="E41" s="91" t="inlineStr">
        <is>
          <t>COLOUR</t>
        </is>
      </c>
      <c r="F41" s="91" t="inlineStr">
        <is>
          <t>White</t>
        </is>
      </c>
      <c r="G41" s="91" t="inlineStr"/>
      <c r="H41" s="91" t="inlineStr"/>
      <c r="I41" s="91" t="inlineStr"/>
      <c r="K41" s="91" t="inlineStr"/>
      <c r="L41" s="91" t="inlineStr"/>
      <c r="M41" s="91" t="inlineStr">
        <is>
          <t>ACTIVE</t>
        </is>
      </c>
      <c r="N41" s="99" t="inlineStr">
        <is>
          <t>IN_STOCK</t>
        </is>
      </c>
      <c r="O41" s="91" t="n">
        <v>2</v>
      </c>
      <c r="P41" s="91" t="inlineStr">
        <is>
          <t>2026-03-12</t>
        </is>
      </c>
      <c r="Q41" s="91" t="inlineStr"/>
      <c r="R41" s="91" t="inlineStr"/>
      <c r="S41" s="91" t="inlineStr">
        <is>
          <t>PUBLISH</t>
        </is>
      </c>
      <c r="T41" s="91" t="inlineStr">
        <is>
          <t>UC-EA-FAC-DFX-FACIAL-WH-25</t>
        </is>
      </c>
      <c r="U41" s="91" t="inlineStr">
        <is>
          <t>SKU variation.csv</t>
        </is>
      </c>
      <c r="V41" s="95" t="inlineStr">
        <is>
          <t>UNRESOLVED: variation file also has UC-EA-FAC-BFF-FAUCET-CR-25 "Beauty Faucet Filter" (chrome). Is that this parent or a separate product?</t>
        </is>
      </c>
    </row>
    <row r="42">
      <c r="A42" s="91" t="inlineStr">
        <is>
          <t>UC-SKW-DFS-025-XX</t>
        </is>
      </c>
      <c r="B42" s="91" t="inlineStr">
        <is>
          <t>UC-SKW-DFS-025</t>
        </is>
      </c>
      <c r="C42" s="91" t="inlineStr">
        <is>
          <t>Derma Flux</t>
        </is>
      </c>
      <c r="D42" s="91" t="inlineStr">
        <is>
          <t>XX</t>
        </is>
      </c>
      <c r="E42" s="91" t="inlineStr">
        <is>
          <t>NONE</t>
        </is>
      </c>
      <c r="F42" s="91" t="inlineStr"/>
      <c r="G42" s="91" t="inlineStr"/>
      <c r="H42" s="91" t="inlineStr"/>
      <c r="I42" s="91" t="inlineStr"/>
      <c r="K42" s="91" t="inlineStr"/>
      <c r="L42" s="91" t="inlineStr"/>
      <c r="M42" s="91" t="inlineStr">
        <is>
          <t>ACTIVE</t>
        </is>
      </c>
      <c r="N42" s="95" t="inlineStr">
        <is>
          <t>FUTURE</t>
        </is>
      </c>
      <c r="O42" s="91" t="n">
        <v>0</v>
      </c>
      <c r="P42" s="91" t="inlineStr"/>
      <c r="Q42" s="91" t="inlineStr">
        <is>
          <t>SHP-NEXT</t>
        </is>
      </c>
      <c r="R42" s="91" t="inlineStr">
        <is>
          <t>TBC</t>
        </is>
      </c>
      <c r="S42" s="91" t="inlineStr">
        <is>
          <t>HOLD</t>
        </is>
      </c>
      <c r="T42" s="91" t="inlineStr"/>
      <c r="U42" s="91" t="inlineStr">
        <is>
          <t>derived from parent</t>
        </is>
      </c>
      <c r="V42" s="102" t="inlineStr"/>
    </row>
    <row r="43">
      <c r="A43" s="91" t="inlineStr">
        <is>
          <t>UC-SKW-DFS-026-XX</t>
        </is>
      </c>
      <c r="B43" s="91" t="inlineStr">
        <is>
          <t>UC-SKW-DFS-026</t>
        </is>
      </c>
      <c r="C43" s="91" t="inlineStr">
        <is>
          <t>Derma Flux</t>
        </is>
      </c>
      <c r="D43" s="91" t="inlineStr">
        <is>
          <t>XX</t>
        </is>
      </c>
      <c r="E43" s="91" t="inlineStr">
        <is>
          <t>NONE</t>
        </is>
      </c>
      <c r="F43" s="91" t="inlineStr"/>
      <c r="G43" s="91" t="inlineStr"/>
      <c r="H43" s="91" t="inlineStr"/>
      <c r="I43" s="91" t="inlineStr"/>
      <c r="K43" s="91" t="inlineStr"/>
      <c r="L43" s="91" t="inlineStr"/>
      <c r="M43" s="91" t="inlineStr">
        <is>
          <t>ACTIVE</t>
        </is>
      </c>
      <c r="N43" s="95" t="inlineStr">
        <is>
          <t>FUTURE</t>
        </is>
      </c>
      <c r="O43" s="91" t="n">
        <v>0</v>
      </c>
      <c r="P43" s="91" t="inlineStr"/>
      <c r="Q43" s="91" t="inlineStr">
        <is>
          <t>SHP-NEXT</t>
        </is>
      </c>
      <c r="R43" s="91" t="inlineStr">
        <is>
          <t>TBC</t>
        </is>
      </c>
      <c r="S43" s="91" t="inlineStr">
        <is>
          <t>HOLD</t>
        </is>
      </c>
      <c r="T43" s="91" t="inlineStr"/>
      <c r="U43" s="91" t="inlineStr">
        <is>
          <t>derived from parent</t>
        </is>
      </c>
      <c r="V43" s="102" t="inlineStr"/>
    </row>
    <row r="44">
      <c r="A44" s="91" t="inlineStr">
        <is>
          <t>UC-SKW-DFO-027-XX</t>
        </is>
      </c>
      <c r="B44" s="91" t="inlineStr">
        <is>
          <t>UC-SKW-DFO-027</t>
        </is>
      </c>
      <c r="C44" s="91" t="inlineStr">
        <is>
          <t>Derma Flux  Fiiter</t>
        </is>
      </c>
      <c r="D44" s="91" t="inlineStr">
        <is>
          <t>XX</t>
        </is>
      </c>
      <c r="E44" s="91" t="inlineStr">
        <is>
          <t>NONE</t>
        </is>
      </c>
      <c r="F44" s="91" t="inlineStr"/>
      <c r="G44" s="91" t="inlineStr"/>
      <c r="H44" s="91" t="inlineStr"/>
      <c r="I44" s="91" t="inlineStr"/>
      <c r="K44" s="91" t="inlineStr"/>
      <c r="L44" s="91" t="inlineStr"/>
      <c r="M44" s="91" t="inlineStr">
        <is>
          <t>ACTIVE</t>
        </is>
      </c>
      <c r="N44" s="99" t="inlineStr">
        <is>
          <t>IN_STOCK</t>
        </is>
      </c>
      <c r="O44" s="91" t="n">
        <v>2</v>
      </c>
      <c r="P44" s="91" t="inlineStr">
        <is>
          <t>2026-03-12</t>
        </is>
      </c>
      <c r="Q44" s="91" t="inlineStr"/>
      <c r="R44" s="91" t="inlineStr"/>
      <c r="S44" s="91" t="inlineStr">
        <is>
          <t>PUBLISH</t>
        </is>
      </c>
      <c r="T44" s="91" t="inlineStr"/>
      <c r="U44" s="91" t="inlineStr">
        <is>
          <t>derived from parent</t>
        </is>
      </c>
      <c r="V44" s="102" t="inlineStr"/>
    </row>
    <row r="45">
      <c r="A45" s="91" t="inlineStr">
        <is>
          <t>UC-HOU-ROP-PP-XX</t>
        </is>
      </c>
      <c r="B45" s="91" t="inlineStr">
        <is>
          <t>UC-HOU-ROP-PP</t>
        </is>
      </c>
      <c r="C45" s="91" t="inlineStr">
        <is>
          <t>RO Replacement</t>
        </is>
      </c>
      <c r="D45" s="91" t="inlineStr">
        <is>
          <t>XX</t>
        </is>
      </c>
      <c r="E45" s="91" t="inlineStr">
        <is>
          <t>NONE</t>
        </is>
      </c>
      <c r="F45" s="91" t="inlineStr"/>
      <c r="G45" s="91" t="inlineStr"/>
      <c r="H45" s="91" t="inlineStr"/>
      <c r="I45" s="91" t="inlineStr"/>
      <c r="K45" s="91" t="inlineStr"/>
      <c r="L45" s="91" t="inlineStr"/>
      <c r="M45" s="91" t="inlineStr">
        <is>
          <t>ACTIVE</t>
        </is>
      </c>
      <c r="N45" s="95" t="inlineStr">
        <is>
          <t>FUTURE</t>
        </is>
      </c>
      <c r="O45" s="91" t="n">
        <v>0</v>
      </c>
      <c r="P45" s="91" t="inlineStr"/>
      <c r="Q45" s="91" t="inlineStr">
        <is>
          <t>SHP-NEXT</t>
        </is>
      </c>
      <c r="R45" s="91" t="inlineStr">
        <is>
          <t>TBC</t>
        </is>
      </c>
      <c r="S45" s="91" t="inlineStr">
        <is>
          <t>HOLD</t>
        </is>
      </c>
      <c r="T45" s="91" t="inlineStr"/>
      <c r="U45" s="91" t="inlineStr">
        <is>
          <t>derived from parent</t>
        </is>
      </c>
      <c r="V45" s="102" t="inlineStr"/>
    </row>
    <row r="46">
      <c r="A46" s="91" t="inlineStr">
        <is>
          <t>UC-HOU-ROP-UDF-XX</t>
        </is>
      </c>
      <c r="B46" s="91" t="inlineStr">
        <is>
          <t>UC-HOU-ROP-UDF</t>
        </is>
      </c>
      <c r="C46" s="91" t="inlineStr">
        <is>
          <t>RO Replacement</t>
        </is>
      </c>
      <c r="D46" s="91" t="inlineStr">
        <is>
          <t>XX</t>
        </is>
      </c>
      <c r="E46" s="91" t="inlineStr">
        <is>
          <t>NONE</t>
        </is>
      </c>
      <c r="F46" s="91" t="inlineStr"/>
      <c r="G46" s="91" t="inlineStr"/>
      <c r="H46" s="91" t="inlineStr"/>
      <c r="I46" s="91" t="inlineStr"/>
      <c r="K46" s="91" t="inlineStr"/>
      <c r="L46" s="91" t="inlineStr"/>
      <c r="M46" s="91" t="inlineStr">
        <is>
          <t>ACTIVE</t>
        </is>
      </c>
      <c r="N46" s="95" t="inlineStr">
        <is>
          <t>FUTURE</t>
        </is>
      </c>
      <c r="O46" s="91" t="n">
        <v>0</v>
      </c>
      <c r="P46" s="91" t="inlineStr"/>
      <c r="Q46" s="91" t="inlineStr">
        <is>
          <t>SHP-NEXT</t>
        </is>
      </c>
      <c r="R46" s="91" t="inlineStr">
        <is>
          <t>TBC</t>
        </is>
      </c>
      <c r="S46" s="91" t="inlineStr">
        <is>
          <t>HOLD</t>
        </is>
      </c>
      <c r="T46" s="91" t="inlineStr"/>
      <c r="U46" s="91" t="inlineStr">
        <is>
          <t>derived from parent</t>
        </is>
      </c>
      <c r="V46" s="102" t="inlineStr"/>
    </row>
    <row r="47">
      <c r="A47" s="91" t="inlineStr">
        <is>
          <t>UC-HOU-ROP-CTO-XX</t>
        </is>
      </c>
      <c r="B47" s="91" t="inlineStr">
        <is>
          <t>UC-HOU-ROP-CTO</t>
        </is>
      </c>
      <c r="C47" s="91" t="inlineStr">
        <is>
          <t>RO Replacement</t>
        </is>
      </c>
      <c r="D47" s="91" t="inlineStr">
        <is>
          <t>XX</t>
        </is>
      </c>
      <c r="E47" s="91" t="inlineStr">
        <is>
          <t>NONE</t>
        </is>
      </c>
      <c r="F47" s="91" t="inlineStr"/>
      <c r="G47" s="91" t="inlineStr"/>
      <c r="H47" s="91" t="inlineStr"/>
      <c r="I47" s="91" t="inlineStr"/>
      <c r="K47" s="91" t="inlineStr"/>
      <c r="L47" s="91" t="inlineStr"/>
      <c r="M47" s="91" t="inlineStr">
        <is>
          <t>ACTIVE</t>
        </is>
      </c>
      <c r="N47" s="95" t="inlineStr">
        <is>
          <t>FUTURE</t>
        </is>
      </c>
      <c r="O47" s="91" t="n">
        <v>0</v>
      </c>
      <c r="P47" s="91" t="inlineStr"/>
      <c r="Q47" s="91" t="inlineStr">
        <is>
          <t>SHP-NEXT</t>
        </is>
      </c>
      <c r="R47" s="91" t="inlineStr">
        <is>
          <t>TBC</t>
        </is>
      </c>
      <c r="S47" s="91" t="inlineStr">
        <is>
          <t>HOLD</t>
        </is>
      </c>
      <c r="T47" s="91" t="inlineStr"/>
      <c r="U47" s="91" t="inlineStr">
        <is>
          <t>derived from parent</t>
        </is>
      </c>
      <c r="V47" s="102" t="inlineStr"/>
    </row>
    <row r="48">
      <c r="A48" s="91" t="inlineStr">
        <is>
          <t>UC-HOU-ROM-100g-XX</t>
        </is>
      </c>
      <c r="B48" s="91" t="inlineStr">
        <is>
          <t>UC-HOU-ROM-100g</t>
        </is>
      </c>
      <c r="C48" s="91" t="inlineStr">
        <is>
          <t>RO Replacement</t>
        </is>
      </c>
      <c r="D48" s="91" t="inlineStr">
        <is>
          <t>XX</t>
        </is>
      </c>
      <c r="E48" s="91" t="inlineStr">
        <is>
          <t>NONE</t>
        </is>
      </c>
      <c r="F48" s="91" t="inlineStr"/>
      <c r="G48" s="91" t="inlineStr"/>
      <c r="H48" s="91" t="inlineStr"/>
      <c r="I48" s="91" t="inlineStr"/>
      <c r="K48" s="91" t="inlineStr"/>
      <c r="L48" s="91" t="inlineStr"/>
      <c r="M48" s="91" t="inlineStr">
        <is>
          <t>ACTIVE</t>
        </is>
      </c>
      <c r="N48" s="95" t="inlineStr">
        <is>
          <t>FUTURE</t>
        </is>
      </c>
      <c r="O48" s="91" t="n">
        <v>0</v>
      </c>
      <c r="P48" s="91" t="inlineStr"/>
      <c r="Q48" s="91" t="inlineStr">
        <is>
          <t>SHP-NEXT</t>
        </is>
      </c>
      <c r="R48" s="91" t="inlineStr">
        <is>
          <t>TBC</t>
        </is>
      </c>
      <c r="S48" s="91" t="inlineStr">
        <is>
          <t>HOLD</t>
        </is>
      </c>
      <c r="T48" s="91" t="inlineStr"/>
      <c r="U48" s="91" t="inlineStr">
        <is>
          <t>derived from parent</t>
        </is>
      </c>
      <c r="V48" s="102" t="inlineStr"/>
    </row>
    <row r="49">
      <c r="A49" s="91" t="inlineStr">
        <is>
          <t>UC-HOU-RO-YMT33-XX</t>
        </is>
      </c>
      <c r="B49" s="91" t="inlineStr">
        <is>
          <t>UC-HOU-RO-YMT33</t>
        </is>
      </c>
      <c r="C49" s="91" t="inlineStr">
        <is>
          <t>RO Replacement</t>
        </is>
      </c>
      <c r="D49" s="91" t="inlineStr">
        <is>
          <t>XX</t>
        </is>
      </c>
      <c r="E49" s="91" t="inlineStr">
        <is>
          <t>NONE</t>
        </is>
      </c>
      <c r="F49" s="91" t="inlineStr"/>
      <c r="G49" s="91" t="inlineStr"/>
      <c r="H49" s="91" t="inlineStr"/>
      <c r="I49" s="91" t="inlineStr"/>
      <c r="K49" s="91" t="inlineStr"/>
      <c r="L49" s="91" t="inlineStr"/>
      <c r="M49" s="91" t="inlineStr">
        <is>
          <t>ACTIVE</t>
        </is>
      </c>
      <c r="N49" s="95" t="inlineStr">
        <is>
          <t>FUTURE</t>
        </is>
      </c>
      <c r="O49" s="91" t="n">
        <v>0</v>
      </c>
      <c r="P49" s="91" t="inlineStr"/>
      <c r="Q49" s="91" t="inlineStr">
        <is>
          <t>SHP-NEXT</t>
        </is>
      </c>
      <c r="R49" s="91" t="inlineStr">
        <is>
          <t>TBC</t>
        </is>
      </c>
      <c r="S49" s="91" t="inlineStr">
        <is>
          <t>HOLD</t>
        </is>
      </c>
      <c r="T49" s="91" t="inlineStr"/>
      <c r="U49" s="91" t="inlineStr">
        <is>
          <t>derived from parent</t>
        </is>
      </c>
      <c r="V49" s="102" t="inlineStr"/>
    </row>
    <row r="50">
      <c r="A50" s="91" t="inlineStr">
        <is>
          <t>UC-HOU-RO-CBT33-XX</t>
        </is>
      </c>
      <c r="B50" s="91" t="inlineStr">
        <is>
          <t>UC-HOU-RO-CBT33</t>
        </is>
      </c>
      <c r="C50" s="91" t="inlineStr">
        <is>
          <t>RO Replacement</t>
        </is>
      </c>
      <c r="D50" s="91" t="inlineStr">
        <is>
          <t>XX</t>
        </is>
      </c>
      <c r="E50" s="91" t="inlineStr">
        <is>
          <t>NONE</t>
        </is>
      </c>
      <c r="F50" s="91" t="inlineStr"/>
      <c r="G50" s="91" t="inlineStr"/>
      <c r="H50" s="91" t="inlineStr"/>
      <c r="I50" s="91" t="inlineStr"/>
      <c r="K50" s="91" t="inlineStr"/>
      <c r="L50" s="91" t="inlineStr"/>
      <c r="M50" s="91" t="inlineStr">
        <is>
          <t>ACTIVE</t>
        </is>
      </c>
      <c r="N50" s="95" t="inlineStr">
        <is>
          <t>FUTURE</t>
        </is>
      </c>
      <c r="O50" s="91" t="n">
        <v>0</v>
      </c>
      <c r="P50" s="91" t="inlineStr"/>
      <c r="Q50" s="91" t="inlineStr">
        <is>
          <t>SHP-NEXT</t>
        </is>
      </c>
      <c r="R50" s="91" t="inlineStr">
        <is>
          <t>TBC</t>
        </is>
      </c>
      <c r="S50" s="91" t="inlineStr">
        <is>
          <t>HOLD</t>
        </is>
      </c>
      <c r="T50" s="91" t="inlineStr"/>
      <c r="U50" s="91" t="inlineStr">
        <is>
          <t>derived from parent</t>
        </is>
      </c>
      <c r="V50" s="102" t="inlineStr"/>
    </row>
    <row r="51">
      <c r="A51" s="91" t="inlineStr">
        <is>
          <t>UC-BOG-ECO-ECF1-XX</t>
        </is>
      </c>
      <c r="B51" s="91" t="inlineStr">
        <is>
          <t>UC-BOG-ECO-ECF1</t>
        </is>
      </c>
      <c r="C51" s="91" t="inlineStr">
        <is>
          <t>Ecosmart Filter</t>
        </is>
      </c>
      <c r="D51" s="91" t="inlineStr">
        <is>
          <t>XX</t>
        </is>
      </c>
      <c r="E51" s="91" t="inlineStr">
        <is>
          <t>NONE</t>
        </is>
      </c>
      <c r="F51" s="91" t="inlineStr"/>
      <c r="G51" s="91" t="inlineStr"/>
      <c r="H51" s="91" t="inlineStr"/>
      <c r="I51" s="91" t="inlineStr"/>
      <c r="K51" s="91" t="inlineStr"/>
      <c r="L51" s="91" t="inlineStr"/>
      <c r="M51" s="91" t="inlineStr">
        <is>
          <t>ACTIVE</t>
        </is>
      </c>
      <c r="N51" s="95" t="inlineStr">
        <is>
          <t>FUTURE</t>
        </is>
      </c>
      <c r="O51" s="91" t="n">
        <v>0</v>
      </c>
      <c r="P51" s="91" t="inlineStr"/>
      <c r="Q51" s="91" t="inlineStr">
        <is>
          <t>SHP-NEXT</t>
        </is>
      </c>
      <c r="R51" s="91" t="inlineStr">
        <is>
          <t>TBC</t>
        </is>
      </c>
      <c r="S51" s="91" t="inlineStr">
        <is>
          <t>HOLD</t>
        </is>
      </c>
      <c r="T51" s="91" t="inlineStr"/>
      <c r="U51" s="91" t="inlineStr">
        <is>
          <t>derived from parent</t>
        </is>
      </c>
      <c r="V51" s="102" t="inlineStr"/>
    </row>
    <row r="52">
      <c r="A52" s="91" t="inlineStr">
        <is>
          <t>UC-HOU-ROT-029-XX</t>
        </is>
      </c>
      <c r="B52" s="91" t="inlineStr">
        <is>
          <t>UC-HOU-ROT-029</t>
        </is>
      </c>
      <c r="C52" s="91" t="inlineStr">
        <is>
          <t>RO Mini Tank</t>
        </is>
      </c>
      <c r="D52" s="91" t="inlineStr">
        <is>
          <t>XX</t>
        </is>
      </c>
      <c r="E52" s="91" t="inlineStr">
        <is>
          <t>NONE</t>
        </is>
      </c>
      <c r="F52" s="91" t="inlineStr"/>
      <c r="G52" s="91" t="inlineStr"/>
      <c r="H52" s="91" t="inlineStr"/>
      <c r="I52" s="91" t="inlineStr">
        <is>
          <t>0.5 gal</t>
        </is>
      </c>
      <c r="J52" s="91" t="inlineStr"/>
      <c r="K52" s="91" t="inlineStr"/>
      <c r="L52" s="91" t="inlineStr"/>
      <c r="M52" s="91" t="inlineStr">
        <is>
          <t>ACTIVE</t>
        </is>
      </c>
      <c r="N52" s="95" t="inlineStr">
        <is>
          <t>FUTURE</t>
        </is>
      </c>
      <c r="O52" s="91" t="n">
        <v>0</v>
      </c>
      <c r="P52" s="91" t="inlineStr"/>
      <c r="Q52" s="91" t="inlineStr">
        <is>
          <t>SHP-NEXT</t>
        </is>
      </c>
      <c r="R52" s="91" t="inlineStr">
        <is>
          <t>TBC</t>
        </is>
      </c>
      <c r="S52" s="91" t="inlineStr">
        <is>
          <t>HOLD</t>
        </is>
      </c>
      <c r="T52" s="91" t="inlineStr"/>
      <c r="U52" s="91" t="inlineStr">
        <is>
          <t>registry 21 Sep 2026</t>
        </is>
      </c>
      <c r="V52" s="91" t="inlineStr">
        <is>
          <t>Issued 21 Sep 2026. No landed cost yet — gate holds it.</t>
        </is>
      </c>
    </row>
  </sheetData>
  <dataValidations count="4">
    <dataValidation sqref="E4:E251" showDropDown="0" showInputMessage="0" showErrorMessage="0" allowBlank="1" type="list">
      <formula1>"COLOUR,FINISH,RELEASE,NONE"</formula1>
    </dataValidation>
    <dataValidation sqref="L4:L251" showDropDown="0" showInputMessage="0" showErrorMessage="0" allowBlank="1" type="list">
      <formula1>"ACTIVE,LIMITED,DEPRECATED,WISHLIST"</formula1>
    </dataValidation>
    <dataValidation sqref="M4:M251" showDropDown="0" showInputMessage="0" showErrorMessage="0" allowBlank="1" type="list">
      <formula1>"IN_STOCK,INCOMING,FUTURE,DISCONTINUED"</formula1>
    </dataValidation>
    <dataValidation sqref="R4:R251" showDropDown="0" showInputMessage="0" showErrorMessage="0" allowBlank="1" type="list">
      <formula1>"PUBLISH,HOLD,WISHLIST,INTERNAL"</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34"/>
  <sheetViews>
    <sheetView workbookViewId="0">
      <pane ySplit="4" topLeftCell="A5" activePane="bottomLeft" state="frozen"/>
      <selection pane="bottomLeft" activeCell="A1" sqref="A1"/>
    </sheetView>
  </sheetViews>
  <sheetFormatPr baseColWidth="8" defaultRowHeight="15"/>
  <cols>
    <col width="11" customWidth="1" min="1" max="1"/>
    <col width="13" customWidth="1" min="2" max="2"/>
    <col width="19" customWidth="1" min="3" max="3"/>
    <col width="26" customWidth="1" min="4" max="4"/>
    <col width="9" customWidth="1" min="5" max="5"/>
    <col width="9" customWidth="1" min="6" max="6"/>
    <col width="9" customWidth="1" min="7" max="7"/>
    <col width="8" customWidth="1" min="8" max="8"/>
    <col width="8" customWidth="1" min="9" max="9"/>
    <col width="8" customWidth="1" min="10" max="10"/>
    <col width="9" customWidth="1" min="11" max="11"/>
    <col width="9" customWidth="1" min="12" max="12"/>
    <col width="11" customWidth="1" min="13" max="13"/>
    <col width="11" customWidth="1" min="14" max="14"/>
    <col width="12" customWidth="1" min="15" max="15"/>
    <col width="12" customWidth="1" min="16" max="16"/>
    <col width="13" customWidth="1" min="17" max="17"/>
    <col width="14" customWidth="1" min="18" max="18"/>
  </cols>
  <sheetData>
    <row r="1">
      <c r="A1" s="89" t="inlineStr">
        <is>
          <t>LOGISTICS — one row per packing-list carton line. Freight is DERIVED here and nowhere else.</t>
        </is>
      </c>
    </row>
    <row r="2">
      <c r="A2" t="inlineStr">
        <is>
          <t>Unit CBM = L x W x H x cartons / 1,000,000 / units.   Freight/unit = Unit CBM x FREIGHT_RATE.</t>
        </is>
      </c>
    </row>
    <row r="4">
      <c r="A4" s="90" t="inlineStr">
        <is>
          <t>PL_LINE</t>
        </is>
      </c>
      <c r="B4" s="90" t="inlineStr">
        <is>
          <t>SHIPMENT_ID</t>
        </is>
      </c>
      <c r="C4" s="90" t="inlineStr">
        <is>
          <t>PARENT_SKU</t>
        </is>
      </c>
      <c r="D4" s="90" t="inlineStr">
        <is>
          <t>MFR_MODEL</t>
        </is>
      </c>
      <c r="E4" s="90" t="inlineStr">
        <is>
          <t>UNITS</t>
        </is>
      </c>
      <c r="F4" s="90" t="inlineStr">
        <is>
          <t>PCS/CTN</t>
        </is>
      </c>
      <c r="G4" s="90" t="inlineStr">
        <is>
          <t>CARTONS</t>
        </is>
      </c>
      <c r="H4" s="90" t="inlineStr">
        <is>
          <t>L (cm)</t>
        </is>
      </c>
      <c r="I4" s="90" t="inlineStr">
        <is>
          <t>W (cm)</t>
        </is>
      </c>
      <c r="J4" s="90" t="inlineStr">
        <is>
          <t>H (cm)</t>
        </is>
      </c>
      <c r="K4" s="90" t="inlineStr">
        <is>
          <t>NW/CTN</t>
        </is>
      </c>
      <c r="L4" s="90" t="inlineStr">
        <is>
          <t>GW/CTN</t>
        </is>
      </c>
      <c r="M4" s="90" t="inlineStr">
        <is>
          <t>TOTAL_GW</t>
        </is>
      </c>
      <c r="N4" s="90" t="inlineStr">
        <is>
          <t>TOTAL_CBM</t>
        </is>
      </c>
      <c r="O4" s="90" t="inlineStr">
        <is>
          <t>UNIT_CBM</t>
        </is>
      </c>
      <c r="P4" s="90" t="inlineStr">
        <is>
          <t>FREIGHT/UNIT</t>
        </is>
      </c>
      <c r="Q4" s="90" t="inlineStr">
        <is>
          <t>FREIGHT_LINE</t>
        </is>
      </c>
      <c r="R4" s="90" t="inlineStr">
        <is>
          <t>DIMS_SOURCE</t>
        </is>
      </c>
      <c r="S4" s="90" t="inlineStr">
        <is>
          <t>NOTE</t>
        </is>
      </c>
    </row>
    <row r="5">
      <c r="A5" s="91" t="inlineStr">
        <is>
          <t>PL-007</t>
        </is>
      </c>
      <c r="B5" s="91" t="inlineStr">
        <is>
          <t>SHP-BG-2024-01</t>
        </is>
      </c>
      <c r="C5" s="91" t="inlineStr">
        <is>
          <t>UC-BOG-SSB-008</t>
        </is>
      </c>
      <c r="D5" s="91" t="inlineStr">
        <is>
          <t>740ml stainless steel water filter bottle BG-B01</t>
        </is>
      </c>
      <c r="E5" s="91" t="n">
        <v>84</v>
      </c>
      <c r="F5" s="91" t="n">
        <v>21</v>
      </c>
      <c r="G5" s="91" t="n">
        <v>4</v>
      </c>
      <c r="H5" s="91" t="n">
        <v>53.5</v>
      </c>
      <c r="I5" s="91" t="n">
        <v>46</v>
      </c>
      <c r="J5" s="91" t="n">
        <v>30.5</v>
      </c>
      <c r="K5" s="91" t="n">
        <v>10.6</v>
      </c>
      <c r="L5" s="91" t="n">
        <v>11.5</v>
      </c>
      <c r="M5">
        <f>IF(L5="","",L5*G5)</f>
        <v/>
      </c>
      <c r="N5">
        <f>IF(OR(H5="",G5=""),"",ROUND(H5*I5*J5*G5/1000000,6))</f>
        <v/>
      </c>
      <c r="O5">
        <f>IF(OR(N5="",E5=0),"",ROUND(N5/E5,6))</f>
        <v/>
      </c>
      <c r="P5">
        <f>IF(O5="","",ROUND(O5*FREIGHT_RATE,4))</f>
        <v/>
      </c>
      <c r="Q5">
        <f>IF(P5="","",ROUND(P5*E5,2))</f>
        <v/>
      </c>
      <c r="R5" t="inlineStr">
        <is>
          <t>MEASURED</t>
        </is>
      </c>
      <c r="S5" s="91" t="inlineStr"/>
    </row>
    <row r="6">
      <c r="A6" s="91" t="inlineStr">
        <is>
          <t>PL-008</t>
        </is>
      </c>
      <c r="B6" s="91" t="inlineStr">
        <is>
          <t>SHP-BG-2024-01</t>
        </is>
      </c>
      <c r="C6" s="91" t="inlineStr">
        <is>
          <t>UC-BOG-TRB-009</t>
        </is>
      </c>
      <c r="D6" s="91" t="inlineStr">
        <is>
          <t>769ml tritan water filter bottle BG-B02</t>
        </is>
      </c>
      <c r="E6" s="91" t="n">
        <v>90</v>
      </c>
      <c r="F6" s="91" t="n">
        <v>30</v>
      </c>
      <c r="G6" s="91" t="n">
        <v>3</v>
      </c>
      <c r="H6" s="91" t="n">
        <v>53.5</v>
      </c>
      <c r="I6" s="91" t="n">
        <v>46</v>
      </c>
      <c r="J6" s="91" t="n">
        <v>30.5</v>
      </c>
      <c r="K6" s="91" t="n">
        <v>9.1</v>
      </c>
      <c r="L6" s="91" t="n">
        <v>10</v>
      </c>
      <c r="M6">
        <f>IF(L6="","",L6*G6)</f>
        <v/>
      </c>
      <c r="N6">
        <f>IF(OR(H6="",G6=""),"",ROUND(H6*I6*J6*G6/1000000,6))</f>
        <v/>
      </c>
      <c r="O6">
        <f>IF(OR(N6="",E6=0),"",ROUND(N6/E6,6))</f>
        <v/>
      </c>
      <c r="P6">
        <f>IF(O6="","",ROUND(O6*FREIGHT_RATE,4))</f>
        <v/>
      </c>
      <c r="Q6">
        <f>IF(P6="","",ROUND(P6*E6,2))</f>
        <v/>
      </c>
      <c r="R6" t="inlineStr">
        <is>
          <t>MEASURED</t>
        </is>
      </c>
      <c r="S6" s="91" t="inlineStr"/>
    </row>
    <row r="7">
      <c r="A7" s="91" t="inlineStr">
        <is>
          <t>PL-009</t>
        </is>
      </c>
      <c r="B7" s="91" t="inlineStr">
        <is>
          <t>SHP-BG-2024-01</t>
        </is>
      </c>
      <c r="C7" s="91" t="inlineStr">
        <is>
          <t>UC-BOG-TRB-009</t>
        </is>
      </c>
      <c r="D7" s="91" t="inlineStr"/>
      <c r="E7" s="91" t="n">
        <v>60</v>
      </c>
      <c r="F7" s="91" t="n">
        <v>20</v>
      </c>
      <c r="G7" s="91" t="n">
        <v>3</v>
      </c>
      <c r="H7" s="91" t="n">
        <v>54.5</v>
      </c>
      <c r="I7" s="91" t="n">
        <v>44</v>
      </c>
      <c r="J7" s="91" t="n">
        <v>31</v>
      </c>
      <c r="K7" s="91" t="n">
        <v>6.1</v>
      </c>
      <c r="L7" s="91" t="n">
        <v>7</v>
      </c>
      <c r="M7">
        <f>IF(L7="","",L7*G7)</f>
        <v/>
      </c>
      <c r="N7">
        <f>IF(OR(H7="",G7=""),"",ROUND(H7*I7*J7*G7/1000000,6))</f>
        <v/>
      </c>
      <c r="O7">
        <f>IF(OR(N7="",E7=0),"",ROUND(N7/E7,6))</f>
        <v/>
      </c>
      <c r="P7">
        <f>IF(O7="","",ROUND(O7*FREIGHT_RATE,4))</f>
        <v/>
      </c>
      <c r="Q7">
        <f>IF(P7="","",ROUND(P7*E7,2))</f>
        <v/>
      </c>
      <c r="R7" t="inlineStr">
        <is>
          <t>MEASURED</t>
        </is>
      </c>
      <c r="S7" s="91" t="inlineStr">
        <is>
          <t>continuation of the line above — packing list left the SKU blank</t>
        </is>
      </c>
    </row>
    <row r="8">
      <c r="A8" s="91" t="inlineStr">
        <is>
          <t>PL-010</t>
        </is>
      </c>
      <c r="B8" s="91" t="inlineStr">
        <is>
          <t>SHP-BG-2024-01</t>
        </is>
      </c>
      <c r="C8" s="91" t="inlineStr">
        <is>
          <t>UC-BOG-TRB-010</t>
        </is>
      </c>
      <c r="D8" s="91" t="inlineStr">
        <is>
          <t>500ml tritan water filter bottle(black)    BG-B06</t>
        </is>
      </c>
      <c r="E8" s="91" t="n">
        <v>84</v>
      </c>
      <c r="F8" s="91" t="n">
        <v>42</v>
      </c>
      <c r="G8" s="91" t="n">
        <v>2</v>
      </c>
      <c r="H8" s="91" t="n">
        <v>51.5</v>
      </c>
      <c r="I8" s="91" t="n">
        <v>57.5</v>
      </c>
      <c r="J8" s="91" t="n">
        <v>25</v>
      </c>
      <c r="K8" s="91" t="n">
        <v>10.3</v>
      </c>
      <c r="L8" s="91" t="n">
        <v>11.3</v>
      </c>
      <c r="M8">
        <f>IF(L8="","",L8*G8)</f>
        <v/>
      </c>
      <c r="N8">
        <f>IF(OR(H8="",G8=""),"",ROUND(H8*I8*J8*G8/1000000,6))</f>
        <v/>
      </c>
      <c r="O8">
        <f>IF(OR(N8="",E8=0),"",ROUND(N8/E8,6))</f>
        <v/>
      </c>
      <c r="P8">
        <f>IF(O8="","",ROUND(O8*FREIGHT_RATE,4))</f>
        <v/>
      </c>
      <c r="Q8">
        <f>IF(P8="","",ROUND(P8*E8,2))</f>
        <v/>
      </c>
      <c r="R8" t="inlineStr">
        <is>
          <t>MEASURED</t>
        </is>
      </c>
      <c r="S8" s="91" t="inlineStr"/>
    </row>
    <row r="9">
      <c r="A9" s="91" t="inlineStr">
        <is>
          <t>PL-011</t>
        </is>
      </c>
      <c r="B9" s="91" t="inlineStr">
        <is>
          <t>SHP-BG-2024-01</t>
        </is>
      </c>
      <c r="C9" s="91" t="inlineStr">
        <is>
          <t>UC-BOG-TRB-010</t>
        </is>
      </c>
      <c r="D9" s="91" t="inlineStr"/>
      <c r="E9" s="91" t="n">
        <v>6</v>
      </c>
      <c r="F9" s="91" t="n">
        <v>6</v>
      </c>
      <c r="G9" s="91" t="n">
        <v>1</v>
      </c>
      <c r="H9" s="91" t="n">
        <v>36</v>
      </c>
      <c r="I9" s="91" t="n">
        <v>36</v>
      </c>
      <c r="J9" s="91" t="n">
        <v>17</v>
      </c>
      <c r="K9" s="91" t="n">
        <v>1.4</v>
      </c>
      <c r="L9" s="91" t="n">
        <v>2</v>
      </c>
      <c r="M9">
        <f>IF(L9="","",L9*G9)</f>
        <v/>
      </c>
      <c r="N9">
        <f>IF(OR(H9="",G9=""),"",ROUND(H9*I9*J9*G9/1000000,6))</f>
        <v/>
      </c>
      <c r="O9">
        <f>IF(OR(N9="",E9=0),"",ROUND(N9/E9,6))</f>
        <v/>
      </c>
      <c r="P9">
        <f>IF(O9="","",ROUND(O9*FREIGHT_RATE,4))</f>
        <v/>
      </c>
      <c r="Q9">
        <f>IF(P9="","",ROUND(P9*E9,2))</f>
        <v/>
      </c>
      <c r="R9" t="inlineStr">
        <is>
          <t>MEASURED</t>
        </is>
      </c>
      <c r="S9" s="91" t="inlineStr">
        <is>
          <t>continuation of the line above — packing list left the SKU blank</t>
        </is>
      </c>
    </row>
    <row r="10">
      <c r="A10" s="91" t="inlineStr">
        <is>
          <t>PL-012</t>
        </is>
      </c>
      <c r="B10" s="91" t="inlineStr">
        <is>
          <t>SHP-BG-2024-01</t>
        </is>
      </c>
      <c r="C10" s="91" t="inlineStr">
        <is>
          <t>UC-BOG-TRB-010</t>
        </is>
      </c>
      <c r="D10" s="91" t="inlineStr"/>
      <c r="E10" s="91" t="n">
        <v>60</v>
      </c>
      <c r="F10" s="91" t="n">
        <v>30</v>
      </c>
      <c r="G10" s="91" t="n">
        <v>2</v>
      </c>
      <c r="H10" s="91" t="n">
        <v>50</v>
      </c>
      <c r="I10" s="91" t="n">
        <v>42.5</v>
      </c>
      <c r="J10" s="91" t="n">
        <v>24.5</v>
      </c>
      <c r="K10" s="91" t="n">
        <v>7.4</v>
      </c>
      <c r="L10" s="91" t="n">
        <v>8.4</v>
      </c>
      <c r="M10">
        <f>IF(L10="","",L10*G10)</f>
        <v/>
      </c>
      <c r="N10">
        <f>IF(OR(H10="",G10=""),"",ROUND(H10*I10*J10*G10/1000000,6))</f>
        <v/>
      </c>
      <c r="O10">
        <f>IF(OR(N10="",E10=0),"",ROUND(N10/E10,6))</f>
        <v/>
      </c>
      <c r="P10">
        <f>IF(O10="","",ROUND(O10*FREIGHT_RATE,4))</f>
        <v/>
      </c>
      <c r="Q10">
        <f>IF(P10="","",ROUND(P10*E10,2))</f>
        <v/>
      </c>
      <c r="R10" t="inlineStr">
        <is>
          <t>MEASURED</t>
        </is>
      </c>
      <c r="S10" s="91" t="inlineStr">
        <is>
          <t>continuation of the line above — packing list left the SKU blank</t>
        </is>
      </c>
    </row>
    <row r="11">
      <c r="A11" s="91" t="inlineStr">
        <is>
          <t>PL-013</t>
        </is>
      </c>
      <c r="B11" s="91" t="inlineStr">
        <is>
          <t>SHP-BG-2024-01</t>
        </is>
      </c>
      <c r="C11" s="91" t="inlineStr">
        <is>
          <t>UC-BOG-TRB-011</t>
        </is>
      </c>
      <c r="D11" s="91" t="inlineStr">
        <is>
          <t>1000ml tritan water filter bottle   BG-B09</t>
        </is>
      </c>
      <c r="E11" s="91" t="n">
        <v>100</v>
      </c>
      <c r="F11" s="91" t="n">
        <v>50</v>
      </c>
      <c r="G11" s="91" t="n">
        <v>2</v>
      </c>
      <c r="H11" s="91" t="n">
        <v>50</v>
      </c>
      <c r="I11" s="91" t="n">
        <v>42.5</v>
      </c>
      <c r="J11" s="91" t="n">
        <v>24.5</v>
      </c>
      <c r="K11" s="91" t="n">
        <v>16.8</v>
      </c>
      <c r="L11" s="91" t="n">
        <v>17.8</v>
      </c>
      <c r="M11">
        <f>IF(L11="","",L11*G11)</f>
        <v/>
      </c>
      <c r="N11">
        <f>IF(OR(H11="",G11=""),"",ROUND(H11*I11*J11*G11/1000000,6))</f>
        <v/>
      </c>
      <c r="O11">
        <f>IF(OR(N11="",E11=0),"",ROUND(N11/E11,6))</f>
        <v/>
      </c>
      <c r="P11">
        <f>IF(O11="","",ROUND(O11*FREIGHT_RATE,4))</f>
        <v/>
      </c>
      <c r="Q11">
        <f>IF(P11="","",ROUND(P11*E11,2))</f>
        <v/>
      </c>
      <c r="R11" t="inlineStr">
        <is>
          <t>MEASURED</t>
        </is>
      </c>
      <c r="S11" s="91" t="inlineStr"/>
    </row>
    <row r="12">
      <c r="A12" s="91" t="inlineStr">
        <is>
          <t>PL-014</t>
        </is>
      </c>
      <c r="B12" s="91" t="inlineStr">
        <is>
          <t>SHP-BG-2024-01</t>
        </is>
      </c>
      <c r="C12" s="91" t="inlineStr">
        <is>
          <t>UC-BOG-TRB-011</t>
        </is>
      </c>
      <c r="D12" s="91" t="inlineStr"/>
      <c r="E12" s="91" t="n">
        <v>20</v>
      </c>
      <c r="F12" s="91" t="n">
        <v>10</v>
      </c>
      <c r="G12" s="91" t="n">
        <v>2</v>
      </c>
      <c r="H12" s="91" t="n">
        <v>55</v>
      </c>
      <c r="I12" s="91" t="n">
        <v>23.5</v>
      </c>
      <c r="J12" s="91" t="n">
        <v>37.5</v>
      </c>
      <c r="K12" s="91" t="n">
        <v>3.4</v>
      </c>
      <c r="L12" s="91" t="n">
        <v>4</v>
      </c>
      <c r="M12">
        <f>IF(L12="","",L12*G12)</f>
        <v/>
      </c>
      <c r="N12">
        <f>IF(OR(H12="",G12=""),"",ROUND(H12*I12*J12*G12/1000000,6))</f>
        <v/>
      </c>
      <c r="O12">
        <f>IF(OR(N12="",E12=0),"",ROUND(N12/E12,6))</f>
        <v/>
      </c>
      <c r="P12">
        <f>IF(O12="","",ROUND(O12*FREIGHT_RATE,4))</f>
        <v/>
      </c>
      <c r="Q12">
        <f>IF(P12="","",ROUND(P12*E12,2))</f>
        <v/>
      </c>
      <c r="R12" t="inlineStr">
        <is>
          <t>MEASURED</t>
        </is>
      </c>
      <c r="S12" s="91" t="inlineStr">
        <is>
          <t>continuation of the line above — packing list left the SKU blank</t>
        </is>
      </c>
    </row>
    <row r="13">
      <c r="A13" s="91" t="inlineStr">
        <is>
          <t>PL-015</t>
        </is>
      </c>
      <c r="B13" s="91" t="inlineStr">
        <is>
          <t>SHP-BG-2024-01</t>
        </is>
      </c>
      <c r="C13" s="91" t="inlineStr">
        <is>
          <t>UC-BOG-FLB-012</t>
        </is>
      </c>
      <c r="D13" s="91" t="inlineStr">
        <is>
          <t>350ml collapsible water filter bottle BG-B04</t>
        </is>
      </c>
      <c r="E13" s="91" t="n">
        <v>40</v>
      </c>
      <c r="F13" s="91" t="n">
        <v>40</v>
      </c>
      <c r="G13" s="91" t="n">
        <v>1</v>
      </c>
      <c r="H13" s="91" t="n">
        <v>57</v>
      </c>
      <c r="I13" s="91" t="n">
        <v>39.5</v>
      </c>
      <c r="J13" s="91" t="n">
        <v>29.5</v>
      </c>
      <c r="K13" s="91" t="n">
        <v>10.3</v>
      </c>
      <c r="L13" s="91" t="n">
        <v>11.3</v>
      </c>
      <c r="M13">
        <f>IF(L13="","",L13*G13)</f>
        <v/>
      </c>
      <c r="N13">
        <f>IF(OR(H13="",G13=""),"",ROUND(H13*I13*J13*G13/1000000,6))</f>
        <v/>
      </c>
      <c r="O13">
        <f>IF(OR(N13="",E13=0),"",ROUND(N13/E13,6))</f>
        <v/>
      </c>
      <c r="P13">
        <f>IF(O13="","",ROUND(O13*FREIGHT_RATE,4))</f>
        <v/>
      </c>
      <c r="Q13">
        <f>IF(P13="","",ROUND(P13*E13,2))</f>
        <v/>
      </c>
      <c r="R13" t="inlineStr">
        <is>
          <t>MEASURED</t>
        </is>
      </c>
      <c r="S13" s="91" t="inlineStr"/>
    </row>
    <row r="14">
      <c r="A14" s="91" t="inlineStr">
        <is>
          <t>PL-016</t>
        </is>
      </c>
      <c r="B14" s="91" t="inlineStr">
        <is>
          <t>SHP-BG-2024-01</t>
        </is>
      </c>
      <c r="C14" s="91" t="inlineStr">
        <is>
          <t>UC-BOG-SQB-014</t>
        </is>
      </c>
      <c r="D14" s="91" t="inlineStr">
        <is>
          <t>1000ml squeeze water filter bottle BG-B07</t>
        </is>
      </c>
      <c r="E14" s="91" t="n">
        <v>72</v>
      </c>
      <c r="F14" s="91" t="n">
        <v>36</v>
      </c>
      <c r="G14" s="91" t="n">
        <v>2</v>
      </c>
      <c r="H14" s="91" t="n">
        <v>57.5</v>
      </c>
      <c r="I14" s="91" t="n">
        <v>57.5</v>
      </c>
      <c r="J14" s="91" t="n">
        <v>44.5</v>
      </c>
      <c r="K14" s="91" t="n">
        <v>10.2</v>
      </c>
      <c r="L14" s="91" t="n">
        <v>11.2</v>
      </c>
      <c r="M14">
        <f>IF(L14="","",L14*G14)</f>
        <v/>
      </c>
      <c r="N14">
        <f>IF(OR(H14="",G14=""),"",ROUND(H14*I14*J14*G14/1000000,6))</f>
        <v/>
      </c>
      <c r="O14">
        <f>IF(OR(N14="",E14=0),"",ROUND(N14/E14,6))</f>
        <v/>
      </c>
      <c r="P14">
        <f>IF(O14="","",ROUND(O14*FREIGHT_RATE,4))</f>
        <v/>
      </c>
      <c r="Q14">
        <f>IF(P14="","",ROUND(P14*E14,2))</f>
        <v/>
      </c>
      <c r="R14" t="inlineStr">
        <is>
          <t>MEASURED</t>
        </is>
      </c>
      <c r="S14" s="91" t="inlineStr"/>
    </row>
    <row r="15">
      <c r="A15" s="91" t="inlineStr">
        <is>
          <t>PL-017</t>
        </is>
      </c>
      <c r="B15" s="91" t="inlineStr">
        <is>
          <t>SHP-BG-2024-01</t>
        </is>
      </c>
      <c r="C15" s="91" t="inlineStr">
        <is>
          <t>UC-BOG-SQB-014</t>
        </is>
      </c>
      <c r="D15" s="91" t="inlineStr"/>
      <c r="E15" s="91" t="n">
        <v>28</v>
      </c>
      <c r="F15" s="91" t="n">
        <v>14</v>
      </c>
      <c r="G15" s="91" t="n">
        <v>2</v>
      </c>
      <c r="H15" s="91" t="n">
        <v>54</v>
      </c>
      <c r="I15" s="91" t="n">
        <v>45.5</v>
      </c>
      <c r="J15" s="91" t="n">
        <v>31</v>
      </c>
      <c r="K15" s="91" t="n">
        <v>4.1</v>
      </c>
      <c r="L15" s="91" t="n">
        <v>5.1</v>
      </c>
      <c r="M15">
        <f>IF(L15="","",L15*G15)</f>
        <v/>
      </c>
      <c r="N15">
        <f>IF(OR(H15="",G15=""),"",ROUND(H15*I15*J15*G15/1000000,6))</f>
        <v/>
      </c>
      <c r="O15">
        <f>IF(OR(N15="",E15=0),"",ROUND(N15/E15,6))</f>
        <v/>
      </c>
      <c r="P15">
        <f>IF(O15="","",ROUND(O15*FREIGHT_RATE,4))</f>
        <v/>
      </c>
      <c r="Q15">
        <f>IF(P15="","",ROUND(P15*E15,2))</f>
        <v/>
      </c>
      <c r="R15" t="inlineStr">
        <is>
          <t>MEASURED</t>
        </is>
      </c>
      <c r="S15" s="91" t="inlineStr">
        <is>
          <t>continuation of the line above — packing list left the SKU blank</t>
        </is>
      </c>
    </row>
    <row r="16">
      <c r="A16" s="91" t="inlineStr">
        <is>
          <t>PL-018</t>
        </is>
      </c>
      <c r="B16" s="91" t="inlineStr">
        <is>
          <t>SHP-BG-2024-01</t>
        </is>
      </c>
      <c r="C16" s="91" t="inlineStr">
        <is>
          <t>UC-BOG-FCA-015</t>
        </is>
      </c>
      <c r="D16" s="91" t="inlineStr">
        <is>
          <t>straw bottle's filters+squeeze bottle's actived fiber filter</t>
        </is>
      </c>
      <c r="E16" s="91" t="n">
        <v>360</v>
      </c>
      <c r="F16" s="91" t="n">
        <v>120</v>
      </c>
      <c r="G16" s="91" t="n">
        <v>3</v>
      </c>
      <c r="H16" s="91" t="n">
        <v>29</v>
      </c>
      <c r="I16" s="91" t="n">
        <v>32</v>
      </c>
      <c r="J16" s="91" t="n">
        <v>14</v>
      </c>
      <c r="K16" s="91" t="n">
        <v>2.6</v>
      </c>
      <c r="L16" s="91" t="n">
        <v>3</v>
      </c>
      <c r="M16">
        <f>IF(L16="","",L16*G16)</f>
        <v/>
      </c>
      <c r="N16">
        <f>IF(OR(H16="",G16=""),"",ROUND(H16*I16*J16*G16/1000000,6))</f>
        <v/>
      </c>
      <c r="O16">
        <f>IF(OR(N16="",E16=0),"",ROUND(N16/E16,6))</f>
        <v/>
      </c>
      <c r="P16">
        <f>IF(O16="","",ROUND(O16*FREIGHT_RATE,4))</f>
        <v/>
      </c>
      <c r="Q16">
        <f>IF(P16="","",ROUND(P16*E16,2))</f>
        <v/>
      </c>
      <c r="R16" t="inlineStr">
        <is>
          <t>MEASURED</t>
        </is>
      </c>
      <c r="S16" s="91" t="inlineStr"/>
    </row>
    <row r="17">
      <c r="A17" s="91" t="inlineStr">
        <is>
          <t>PL-019</t>
        </is>
      </c>
      <c r="B17" s="91" t="inlineStr">
        <is>
          <t>SHP-BG-2024-01</t>
        </is>
      </c>
      <c r="C17" s="91" t="inlineStr">
        <is>
          <t>UC-BOG-FCA-015</t>
        </is>
      </c>
      <c r="D17" s="91" t="inlineStr"/>
      <c r="E17" s="91" t="n">
        <v>100</v>
      </c>
      <c r="F17" s="91" t="n">
        <v>100</v>
      </c>
      <c r="G17" s="91" t="n">
        <v>1</v>
      </c>
      <c r="H17" s="91" t="n">
        <v>29</v>
      </c>
      <c r="I17" s="91" t="n">
        <v>32</v>
      </c>
      <c r="J17" s="91" t="n">
        <v>14</v>
      </c>
      <c r="K17" s="91" t="n">
        <v>2.2</v>
      </c>
      <c r="L17" s="91" t="n">
        <v>2.5</v>
      </c>
      <c r="M17">
        <f>IF(L17="","",L17*G17)</f>
        <v/>
      </c>
      <c r="N17">
        <f>IF(OR(H17="",G17=""),"",ROUND(H17*I17*J17*G17/1000000,6))</f>
        <v/>
      </c>
      <c r="O17">
        <f>IF(OR(N17="",E17=0),"",ROUND(N17/E17,6))</f>
        <v/>
      </c>
      <c r="P17">
        <f>IF(O17="","",ROUND(O17*FREIGHT_RATE,4))</f>
        <v/>
      </c>
      <c r="Q17">
        <f>IF(P17="","",ROUND(P17*E17,2))</f>
        <v/>
      </c>
      <c r="R17" t="inlineStr">
        <is>
          <t>MEASURED</t>
        </is>
      </c>
      <c r="S17" s="91" t="inlineStr"/>
    </row>
    <row r="18">
      <c r="A18" s="91" t="inlineStr">
        <is>
          <t>PL-020</t>
        </is>
      </c>
      <c r="B18" s="91" t="inlineStr">
        <is>
          <t>SHP-BG-2024-01</t>
        </is>
      </c>
      <c r="C18" s="91" t="inlineStr">
        <is>
          <t>UC-BOG-SHL-018</t>
        </is>
      </c>
      <c r="D18" s="91" t="inlineStr">
        <is>
          <t>740ml stainless steel water filter bottle' s  straw only NIL</t>
        </is>
      </c>
      <c r="E18" s="91" t="n">
        <v>50</v>
      </c>
      <c r="F18" s="91" t="n">
        <v>50</v>
      </c>
      <c r="G18" s="91" t="n">
        <v>1</v>
      </c>
      <c r="H18" s="91" t="n">
        <v>36.5</v>
      </c>
      <c r="I18" s="91" t="n">
        <v>20</v>
      </c>
      <c r="J18" s="91" t="n">
        <v>19</v>
      </c>
      <c r="K18" s="91" t="n">
        <v>1.5</v>
      </c>
      <c r="L18" s="91" t="n">
        <v>1.7</v>
      </c>
      <c r="M18">
        <f>IF(L18="","",L18*G18)</f>
        <v/>
      </c>
      <c r="N18">
        <f>IF(OR(H18="",G18=""),"",ROUND(H18*I18*J18*G18/1000000,6))</f>
        <v/>
      </c>
      <c r="O18">
        <f>IF(OR(N18="",E18=0),"",ROUND(N18/E18,6))</f>
        <v/>
      </c>
      <c r="P18">
        <f>IF(O18="","",ROUND(O18*FREIGHT_RATE,4))</f>
        <v/>
      </c>
      <c r="Q18">
        <f>IF(P18="","",ROUND(P18*E18,2))</f>
        <v/>
      </c>
      <c r="R18" t="inlineStr">
        <is>
          <t>MEASURED</t>
        </is>
      </c>
      <c r="S18" s="91" t="inlineStr"/>
    </row>
    <row r="19">
      <c r="A19" s="91" t="inlineStr">
        <is>
          <t>PL-021</t>
        </is>
      </c>
      <c r="B19" s="91" t="inlineStr">
        <is>
          <t>SHP-BG-2024-01</t>
        </is>
      </c>
      <c r="C19" s="91" t="inlineStr">
        <is>
          <t>UC-HOU-DF-007</t>
        </is>
      </c>
      <c r="D19" s="91" t="inlineStr">
        <is>
          <t>pump filter cartridge BG-F04A</t>
        </is>
      </c>
      <c r="E19" s="91" t="n">
        <v>120</v>
      </c>
      <c r="F19" s="91" t="n">
        <v>60</v>
      </c>
      <c r="G19" s="91" t="n">
        <v>2</v>
      </c>
      <c r="H19" s="91" t="n">
        <v>50.5</v>
      </c>
      <c r="I19" s="91" t="n">
        <v>41.5</v>
      </c>
      <c r="J19" s="91" t="n">
        <v>26</v>
      </c>
      <c r="K19" s="91" t="n">
        <v>9.300000000000001</v>
      </c>
      <c r="L19" s="91" t="n">
        <v>10.3</v>
      </c>
      <c r="M19">
        <f>IF(L19="","",L19*G19)</f>
        <v/>
      </c>
      <c r="N19">
        <f>IF(OR(H19="",G19=""),"",ROUND(H19*I19*J19*G19/1000000,6))</f>
        <v/>
      </c>
      <c r="O19">
        <f>IF(OR(N19="",E19=0),"",ROUND(N19/E19,6))</f>
        <v/>
      </c>
      <c r="P19">
        <f>IF(O19="","",ROUND(O19*FREIGHT_RATE,4))</f>
        <v/>
      </c>
      <c r="Q19">
        <f>IF(P19="","",ROUND(P19*E19,2))</f>
        <v/>
      </c>
      <c r="R19" t="inlineStr">
        <is>
          <t>MEASURED</t>
        </is>
      </c>
      <c r="S19" s="95" t="inlineStr">
        <is>
          <t>CORRECTED: packing list said UC-HOU-WDFS-006, but BG-F04A is the pump cartridge = UC-HOU-DF-007. The shipping estimate inherited this error and put USD 97.54 of freight on the wrong SKU.</t>
        </is>
      </c>
    </row>
    <row r="20">
      <c r="A20" s="91" t="inlineStr">
        <is>
          <t>PL-022</t>
        </is>
      </c>
      <c r="B20" s="91" t="inlineStr">
        <is>
          <t>SHP-BG-2024-01</t>
        </is>
      </c>
      <c r="C20" s="91" t="inlineStr">
        <is>
          <t>UC-HOU-DF-007</t>
        </is>
      </c>
      <c r="D20" s="91" t="inlineStr"/>
      <c r="E20" s="91" t="n">
        <v>80</v>
      </c>
      <c r="F20" s="91" t="n">
        <v>40</v>
      </c>
      <c r="G20" s="91" t="n">
        <v>2</v>
      </c>
      <c r="H20" s="91" t="n">
        <v>42</v>
      </c>
      <c r="I20" s="91" t="n">
        <v>41</v>
      </c>
      <c r="J20" s="91" t="n">
        <v>25</v>
      </c>
      <c r="K20" s="91" t="n">
        <v>6</v>
      </c>
      <c r="L20" s="91" t="n">
        <v>7</v>
      </c>
      <c r="M20">
        <f>IF(L20="","",L20*G20)</f>
        <v/>
      </c>
      <c r="N20">
        <f>IF(OR(H20="",G20=""),"",ROUND(H20*I20*J20*G20/1000000,6))</f>
        <v/>
      </c>
      <c r="O20">
        <f>IF(OR(N20="",E20=0),"",ROUND(N20/E20,6))</f>
        <v/>
      </c>
      <c r="P20">
        <f>IF(O20="","",ROUND(O20*FREIGHT_RATE,4))</f>
        <v/>
      </c>
      <c r="Q20">
        <f>IF(P20="","",ROUND(P20*E20,2))</f>
        <v/>
      </c>
      <c r="R20" t="inlineStr">
        <is>
          <t>MEASURED</t>
        </is>
      </c>
      <c r="S20" s="91" t="inlineStr">
        <is>
          <t>continuation of the line above — packing list left the SKU blank</t>
        </is>
      </c>
    </row>
    <row r="21">
      <c r="A21" s="91" t="inlineStr">
        <is>
          <t>PL-023</t>
        </is>
      </c>
      <c r="B21" s="91" t="inlineStr">
        <is>
          <t>SHP-BG-2024-01</t>
        </is>
      </c>
      <c r="C21" s="91" t="inlineStr">
        <is>
          <t>UC-HOU-TAP-005</t>
        </is>
      </c>
      <c r="D21" s="91" t="inlineStr">
        <is>
          <t>ultra filter faucet BG-T01U</t>
        </is>
      </c>
      <c r="E21" s="91" t="n">
        <v>180</v>
      </c>
      <c r="F21" s="91" t="n">
        <v>30</v>
      </c>
      <c r="G21" s="91" t="n">
        <v>6</v>
      </c>
      <c r="H21" s="91" t="n">
        <v>42.5</v>
      </c>
      <c r="I21" s="91" t="n">
        <v>38</v>
      </c>
      <c r="J21" s="91" t="n">
        <v>39.5</v>
      </c>
      <c r="K21" s="91" t="n">
        <v>14.5</v>
      </c>
      <c r="L21" s="91" t="n">
        <v>15.5</v>
      </c>
      <c r="M21">
        <f>IF(L21="","",L21*G21)</f>
        <v/>
      </c>
      <c r="N21">
        <f>IF(OR(H21="",G21=""),"",ROUND(H21*I21*J21*G21/1000000,6))</f>
        <v/>
      </c>
      <c r="O21">
        <f>IF(OR(N21="",E21=0),"",ROUND(N21/E21,6))</f>
        <v/>
      </c>
      <c r="P21">
        <f>IF(O21="","",ROUND(O21*FREIGHT_RATE,4))</f>
        <v/>
      </c>
      <c r="Q21">
        <f>IF(P21="","",ROUND(P21*E21,2))</f>
        <v/>
      </c>
      <c r="R21" t="inlineStr">
        <is>
          <t>MEASURED</t>
        </is>
      </c>
      <c r="S21" s="91" t="inlineStr"/>
    </row>
    <row r="22">
      <c r="A22" s="91" t="inlineStr">
        <is>
          <t>PL-024</t>
        </is>
      </c>
      <c r="B22" s="91" t="inlineStr">
        <is>
          <t>SHP-BG-2024-01</t>
        </is>
      </c>
      <c r="C22" s="91" t="inlineStr">
        <is>
          <t>UC-HOU-TAP-005</t>
        </is>
      </c>
      <c r="D22" s="91" t="inlineStr"/>
      <c r="E22" s="91" t="n">
        <v>20</v>
      </c>
      <c r="F22" s="91" t="n">
        <v>20</v>
      </c>
      <c r="G22" s="91" t="n">
        <v>1</v>
      </c>
      <c r="H22" s="91" t="n">
        <v>42.5</v>
      </c>
      <c r="I22" s="91" t="n">
        <v>38</v>
      </c>
      <c r="J22" s="91" t="n">
        <v>39.5</v>
      </c>
      <c r="K22" s="91" t="n">
        <v>9.5</v>
      </c>
      <c r="L22" s="91" t="n">
        <v>10.5</v>
      </c>
      <c r="M22">
        <f>IF(L22="","",L22*G22)</f>
        <v/>
      </c>
      <c r="N22">
        <f>IF(OR(H22="",G22=""),"",ROUND(H22*I22*J22*G22/1000000,6))</f>
        <v/>
      </c>
      <c r="O22">
        <f>IF(OR(N22="",E22=0),"",ROUND(N22/E22,6))</f>
        <v/>
      </c>
      <c r="P22">
        <f>IF(O22="","",ROUND(O22*FREIGHT_RATE,4))</f>
        <v/>
      </c>
      <c r="Q22">
        <f>IF(P22="","",ROUND(P22*E22,2))</f>
        <v/>
      </c>
      <c r="R22" t="inlineStr">
        <is>
          <t>MEASURED</t>
        </is>
      </c>
      <c r="S22" s="91" t="inlineStr">
        <is>
          <t>continuation of the line above — packing list left the SKU blank</t>
        </is>
      </c>
    </row>
    <row r="23">
      <c r="A23" s="91" t="inlineStr">
        <is>
          <t>PL-025</t>
        </is>
      </c>
      <c r="B23" s="91" t="inlineStr">
        <is>
          <t>SHP-BG-2024-01</t>
        </is>
      </c>
      <c r="C23" s="91" t="inlineStr">
        <is>
          <t>UC-HOU-TAPF-006</t>
        </is>
      </c>
      <c r="D23" s="91" t="inlineStr">
        <is>
          <t>faucet filter cartridge BG-F01U</t>
        </is>
      </c>
      <c r="E23" s="91" t="n">
        <v>120</v>
      </c>
      <c r="F23" s="91" t="n">
        <v>120</v>
      </c>
      <c r="G23" s="91" t="n">
        <v>1</v>
      </c>
      <c r="H23" s="91" t="n">
        <v>48.5</v>
      </c>
      <c r="I23" s="91" t="n">
        <v>30.5</v>
      </c>
      <c r="J23" s="91" t="n">
        <v>20</v>
      </c>
      <c r="K23" s="91" t="n">
        <v>7</v>
      </c>
      <c r="L23" s="91" t="n">
        <v>7.6</v>
      </c>
      <c r="M23">
        <f>IF(L23="","",L23*G23)</f>
        <v/>
      </c>
      <c r="N23">
        <f>IF(OR(H23="",G23=""),"",ROUND(H23*I23*J23*G23/1000000,6))</f>
        <v/>
      </c>
      <c r="O23">
        <f>IF(OR(N23="",E23=0),"",ROUND(N23/E23,6))</f>
        <v/>
      </c>
      <c r="P23">
        <f>IF(O23="","",ROUND(O23*FREIGHT_RATE,4))</f>
        <v/>
      </c>
      <c r="Q23">
        <f>IF(P23="","",ROUND(P23*E23,2))</f>
        <v/>
      </c>
      <c r="R23" t="inlineStr">
        <is>
          <t>MEASURED</t>
        </is>
      </c>
      <c r="S23" s="91" t="inlineStr"/>
    </row>
    <row r="24">
      <c r="A24" s="91" t="inlineStr">
        <is>
          <t>PL-026</t>
        </is>
      </c>
      <c r="B24" s="91" t="inlineStr">
        <is>
          <t>SHP-BG-2024-01</t>
        </is>
      </c>
      <c r="C24" s="91" t="inlineStr">
        <is>
          <t>UC-SKW-SHF-020</t>
        </is>
      </c>
      <c r="D24" s="91" t="inlineStr">
        <is>
          <t>diamond shower filter  BG-S01</t>
        </is>
      </c>
      <c r="E24" s="91" t="n">
        <v>60</v>
      </c>
      <c r="F24" s="91" t="n">
        <v>30</v>
      </c>
      <c r="G24" s="91" t="n">
        <v>2</v>
      </c>
      <c r="H24" s="91" t="n">
        <v>49.5</v>
      </c>
      <c r="I24" s="91" t="n">
        <v>43</v>
      </c>
      <c r="J24" s="91" t="n">
        <v>24.5</v>
      </c>
      <c r="K24" s="91" t="n">
        <v>10</v>
      </c>
      <c r="L24" s="91" t="n">
        <v>11</v>
      </c>
      <c r="M24">
        <f>IF(L24="","",L24*G24)</f>
        <v/>
      </c>
      <c r="N24">
        <f>IF(OR(H24="",G24=""),"",ROUND(H24*I24*J24*G24/1000000,6))</f>
        <v/>
      </c>
      <c r="O24">
        <f>IF(OR(N24="",E24=0),"",ROUND(N24/E24,6))</f>
        <v/>
      </c>
      <c r="P24">
        <f>IF(O24="","",ROUND(O24*FREIGHT_RATE,4))</f>
        <v/>
      </c>
      <c r="Q24">
        <f>IF(P24="","",ROUND(P24*E24,2))</f>
        <v/>
      </c>
      <c r="R24" t="inlineStr">
        <is>
          <t>MEASURED</t>
        </is>
      </c>
      <c r="S24" s="91" t="inlineStr"/>
    </row>
    <row r="25">
      <c r="A25" s="91" t="inlineStr">
        <is>
          <t>PL-027</t>
        </is>
      </c>
      <c r="B25" s="91" t="inlineStr">
        <is>
          <t>SHP-BG-2024-01</t>
        </is>
      </c>
      <c r="C25" s="91" t="inlineStr">
        <is>
          <t>UC-SKW-SHF-019</t>
        </is>
      </c>
      <c r="D25" s="91" t="inlineStr">
        <is>
          <t>round shower filter  BG-S02</t>
        </is>
      </c>
      <c r="E25" s="91" t="n">
        <v>90</v>
      </c>
      <c r="F25" s="91" t="n">
        <v>30</v>
      </c>
      <c r="G25" s="91" t="n">
        <v>3</v>
      </c>
      <c r="H25" s="91" t="n">
        <v>45.5</v>
      </c>
      <c r="I25" s="91" t="n">
        <v>42</v>
      </c>
      <c r="J25" s="91" t="n">
        <v>24</v>
      </c>
      <c r="K25" s="91" t="n">
        <v>12</v>
      </c>
      <c r="L25" s="91" t="n">
        <v>12.5</v>
      </c>
      <c r="M25">
        <f>IF(L25="","",L25*G25)</f>
        <v/>
      </c>
      <c r="N25">
        <f>IF(OR(H25="",G25=""),"",ROUND(H25*I25*J25*G25/1000000,6))</f>
        <v/>
      </c>
      <c r="O25">
        <f>IF(OR(N25="",E25=0),"",ROUND(N25/E25,6))</f>
        <v/>
      </c>
      <c r="P25">
        <f>IF(O25="","",ROUND(O25*FREIGHT_RATE,4))</f>
        <v/>
      </c>
      <c r="Q25">
        <f>IF(P25="","",ROUND(P25*E25,2))</f>
        <v/>
      </c>
      <c r="R25" t="inlineStr">
        <is>
          <t>MEASURED</t>
        </is>
      </c>
      <c r="S25" s="91" t="inlineStr"/>
    </row>
    <row r="26">
      <c r="A26" s="91" t="inlineStr">
        <is>
          <t>PL-028</t>
        </is>
      </c>
      <c r="B26" s="91" t="inlineStr">
        <is>
          <t>SHP-BG-2024-01</t>
        </is>
      </c>
      <c r="C26" s="91" t="inlineStr">
        <is>
          <t>UC-SKW-SHF-022</t>
        </is>
      </c>
      <c r="D26" s="91" t="inlineStr">
        <is>
          <t>shower filter with window  BG-S04</t>
        </is>
      </c>
      <c r="E26" s="91" t="n">
        <v>20</v>
      </c>
      <c r="F26" s="91" t="n">
        <v>20</v>
      </c>
      <c r="G26" s="91" t="n">
        <v>1</v>
      </c>
      <c r="H26" s="91" t="n">
        <v>37</v>
      </c>
      <c r="I26" s="91" t="n">
        <v>28</v>
      </c>
      <c r="J26" s="91" t="n">
        <v>31.5</v>
      </c>
      <c r="K26" s="91" t="n">
        <v>4.3</v>
      </c>
      <c r="L26" s="91" t="n">
        <v>4.8</v>
      </c>
      <c r="M26">
        <f>IF(L26="","",L26*G26)</f>
        <v/>
      </c>
      <c r="N26">
        <f>IF(OR(H26="",G26=""),"",ROUND(H26*I26*J26*G26/1000000,6))</f>
        <v/>
      </c>
      <c r="O26">
        <f>IF(OR(N26="",E26=0),"",ROUND(N26/E26,6))</f>
        <v/>
      </c>
      <c r="P26">
        <f>IF(O26="","",ROUND(O26*FREIGHT_RATE,4))</f>
        <v/>
      </c>
      <c r="Q26">
        <f>IF(P26="","",ROUND(P26*E26,2))</f>
        <v/>
      </c>
      <c r="R26" t="inlineStr">
        <is>
          <t>MEASURED</t>
        </is>
      </c>
      <c r="S26" s="91" t="inlineStr"/>
    </row>
    <row r="27">
      <c r="A27" s="91" t="inlineStr">
        <is>
          <t>PL-029</t>
        </is>
      </c>
      <c r="B27" s="91" t="inlineStr">
        <is>
          <t>SHP-BG-2024-01</t>
        </is>
      </c>
      <c r="C27" s="91" t="inlineStr">
        <is>
          <t>UC-SKW-SHF-021</t>
        </is>
      </c>
      <c r="D27" s="91" t="inlineStr">
        <is>
          <t>aluminum alloy shower filter  BG-S06</t>
        </is>
      </c>
      <c r="E27" s="91" t="n">
        <v>120</v>
      </c>
      <c r="F27" s="91" t="n">
        <v>30</v>
      </c>
      <c r="G27" s="91" t="n">
        <v>4</v>
      </c>
      <c r="H27" s="91" t="n">
        <v>49.5</v>
      </c>
      <c r="I27" s="91" t="n">
        <v>40.5</v>
      </c>
      <c r="J27" s="91" t="n">
        <v>26</v>
      </c>
      <c r="K27" s="91" t="n">
        <v>15.1</v>
      </c>
      <c r="L27" s="91" t="n">
        <v>15.8</v>
      </c>
      <c r="M27">
        <f>IF(L27="","",L27*G27)</f>
        <v/>
      </c>
      <c r="N27">
        <f>IF(OR(H27="",G27=""),"",ROUND(H27*I27*J27*G27/1000000,6))</f>
        <v/>
      </c>
      <c r="O27">
        <f>IF(OR(N27="",E27=0),"",ROUND(N27/E27,6))</f>
        <v/>
      </c>
      <c r="P27">
        <f>IF(O27="","",ROUND(O27*FREIGHT_RATE,4))</f>
        <v/>
      </c>
      <c r="Q27">
        <f>IF(P27="","",ROUND(P27*E27,2))</f>
        <v/>
      </c>
      <c r="R27" t="inlineStr">
        <is>
          <t>MEASURED</t>
        </is>
      </c>
      <c r="S27" s="91" t="inlineStr"/>
    </row>
    <row r="28">
      <c r="A28" s="91" t="inlineStr">
        <is>
          <t>PL-030</t>
        </is>
      </c>
      <c r="B28" s="91" t="inlineStr">
        <is>
          <t>SHP-BG-2024-01</t>
        </is>
      </c>
      <c r="C28" s="91" t="inlineStr">
        <is>
          <t>UC-SKW-SHC-023</t>
        </is>
      </c>
      <c r="D28" s="91" t="inlineStr">
        <is>
          <t>shower filter cartridge BG-F02</t>
        </is>
      </c>
      <c r="E28" s="91" t="n">
        <v>120</v>
      </c>
      <c r="F28" s="91" t="n">
        <v>120</v>
      </c>
      <c r="G28" s="91" t="n">
        <v>1</v>
      </c>
      <c r="H28" s="91" t="n">
        <v>54.5</v>
      </c>
      <c r="I28" s="91" t="n">
        <v>23</v>
      </c>
      <c r="J28" s="91" t="n">
        <v>37</v>
      </c>
      <c r="K28" s="91" t="n">
        <v>16.9</v>
      </c>
      <c r="L28" s="91" t="n">
        <v>17.5</v>
      </c>
      <c r="M28">
        <f>IF(L28="","",L28*G28)</f>
        <v/>
      </c>
      <c r="N28">
        <f>IF(OR(H28="",G28=""),"",ROUND(H28*I28*J28*G28/1000000,6))</f>
        <v/>
      </c>
      <c r="O28">
        <f>IF(OR(N28="",E28=0),"",ROUND(N28/E28,6))</f>
        <v/>
      </c>
      <c r="P28">
        <f>IF(O28="","",ROUND(O28*FREIGHT_RATE,4))</f>
        <v/>
      </c>
      <c r="Q28">
        <f>IF(P28="","",ROUND(P28*E28,2))</f>
        <v/>
      </c>
      <c r="R28" t="inlineStr">
        <is>
          <t>MEASURED</t>
        </is>
      </c>
      <c r="S28" s="91" t="inlineStr"/>
    </row>
    <row r="29">
      <c r="A29" s="91" t="inlineStr">
        <is>
          <t>PL-031</t>
        </is>
      </c>
      <c r="B29" s="91" t="inlineStr">
        <is>
          <t>SHP-BG-2024-01</t>
        </is>
      </c>
      <c r="C29" s="91" t="inlineStr">
        <is>
          <t>UC-BOG-FST-016</t>
        </is>
      </c>
      <c r="D29" s="91" t="inlineStr">
        <is>
          <t>new straw filter  BG-B12</t>
        </is>
      </c>
      <c r="E29" s="91" t="n">
        <v>50</v>
      </c>
      <c r="F29" s="91" t="n">
        <v>50</v>
      </c>
      <c r="G29" s="91" t="n">
        <v>1</v>
      </c>
      <c r="H29" s="91" t="n">
        <v>48</v>
      </c>
      <c r="I29" s="91" t="n">
        <v>33</v>
      </c>
      <c r="J29" s="91" t="n">
        <v>23.5</v>
      </c>
      <c r="K29" s="91" t="n">
        <v>6</v>
      </c>
      <c r="L29" s="91" t="n">
        <v>7</v>
      </c>
      <c r="M29">
        <f>IF(L29="","",L29*G29)</f>
        <v/>
      </c>
      <c r="N29">
        <f>IF(OR(H29="",G29=""),"",ROUND(H29*I29*J29*G29/1000000,6))</f>
        <v/>
      </c>
      <c r="O29">
        <f>IF(OR(N29="",E29=0),"",ROUND(N29/E29,6))</f>
        <v/>
      </c>
      <c r="P29">
        <f>IF(O29="","",ROUND(O29*FREIGHT_RATE,4))</f>
        <v/>
      </c>
      <c r="Q29">
        <f>IF(P29="","",ROUND(P29*E29,2))</f>
        <v/>
      </c>
      <c r="R29" t="inlineStr">
        <is>
          <t>MEASURED</t>
        </is>
      </c>
      <c r="S29" s="91" t="inlineStr"/>
    </row>
    <row r="31" ht="58" customHeight="1">
      <c r="A31" s="91" t="inlineStr">
        <is>
          <t>PL-E01</t>
        </is>
      </c>
      <c r="B31" s="91" t="inlineStr">
        <is>
          <t>SHP-NEXT</t>
        </is>
      </c>
      <c r="C31" s="91" t="inlineStr">
        <is>
          <t>UC-COM-ROS-002</t>
        </is>
      </c>
      <c r="D31" s="91" t="inlineStr">
        <is>
          <t>Commercial RO 1200GPD (carton estimated)</t>
        </is>
      </c>
      <c r="E31" s="91" t="n">
        <v>1</v>
      </c>
      <c r="F31" s="91" t="n">
        <v>1</v>
      </c>
      <c r="G31" s="91" t="n">
        <v>1</v>
      </c>
      <c r="H31" s="91" t="n">
        <v>41</v>
      </c>
      <c r="I31" s="91" t="n">
        <v>25</v>
      </c>
      <c r="J31" s="91" t="n">
        <v>81</v>
      </c>
      <c r="K31" s="91" t="inlineStr"/>
      <c r="L31" s="91" t="inlineStr"/>
      <c r="M31">
        <f>IF(L31="","",L31*G31)</f>
        <v/>
      </c>
      <c r="N31">
        <f>IF(OR(H31="",G31=""),"",ROUND(H31*I31*J31*G31/1000000,6))</f>
        <v/>
      </c>
      <c r="O31">
        <f>IF(OR(N31="",E31=0),"",ROUND(N31/E31,6))</f>
        <v/>
      </c>
      <c r="P31">
        <f>IF(O31="","",ROUND(O31*FREIGHT_RATE,4))</f>
        <v/>
      </c>
      <c r="Q31">
        <f>IF(P31="","",ROUND(P31*E31,2))</f>
        <v/>
      </c>
      <c r="R31" s="92" t="inlineStr">
        <is>
          <t>COMPARABLE</t>
        </is>
      </c>
      <c r="S31" s="91" t="inlineStr">
        <is>
          <t>ESTIMATE. No carton data exists for the 1200GPD unit. Dimensions taken from the RO213 800GPD comparable in the shipping estimate, 1 unit per carton. A twin-pump twin-membrane 1200GPD unit is PHYSICALLY LARGER than an 800G tankless, so 41.51/unit is a FLOOR on freight, not the answer. Replace with real cartons when the supplier confirms.</t>
        </is>
      </c>
    </row>
    <row r="32">
      <c r="D32" s="88" t="inlineStr">
        <is>
          <t>TOTAL</t>
        </is>
      </c>
      <c r="E32" s="88">
        <f>SUM(E5:E31)</f>
        <v/>
      </c>
      <c r="M32" s="88">
        <f>SUM(M5:M31)</f>
        <v/>
      </c>
      <c r="N32" s="88">
        <f>SUM(N5:N31)</f>
        <v/>
      </c>
      <c r="Q32" s="88">
        <f>SUM(Q5:Q31)</f>
        <v/>
      </c>
    </row>
    <row r="34">
      <c r="C34" s="88" t="inlineStr">
        <is>
          <t>Coverage</t>
        </is>
      </c>
      <c r="D34" s="91" t="inlineStr">
        <is>
          <t>17 of the 39 parents appear on this packing list. The other 22 have no carton data, so their freight cannot be derived — see BASIS on LANDED_COST_BUILD.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47"/>
  <sheetViews>
    <sheetView workbookViewId="0">
      <pane ySplit="5" topLeftCell="A6" activePane="bottomLeft" state="frozen"/>
      <selection pane="bottomLeft" activeCell="A1" sqref="A1"/>
    </sheetView>
  </sheetViews>
  <sheetFormatPr baseColWidth="8" defaultRowHeight="15"/>
  <cols>
    <col width="19" customWidth="1" min="1" max="1"/>
    <col width="24" customWidth="1" min="2" max="2"/>
    <col width="13" customWidth="1" min="3" max="3"/>
    <col width="11" customWidth="1" min="4" max="4"/>
    <col width="11" customWidth="1" min="5" max="5"/>
    <col width="11" customWidth="1" min="6" max="6"/>
    <col width="12" customWidth="1" min="7" max="7"/>
    <col width="11" customWidth="1" min="8" max="8"/>
    <col width="12" customWidth="1" min="9" max="9"/>
    <col width="13" customWidth="1" min="10" max="10"/>
    <col width="13" customWidth="1" min="11" max="11"/>
    <col width="13" customWidth="1" min="12" max="12"/>
    <col width="11" customWidth="1" min="13" max="13"/>
    <col width="13" customWidth="1" min="14" max="14"/>
    <col width="12" customWidth="1" min="15" max="15"/>
    <col width="50" customWidth="1" min="16" max="16"/>
  </cols>
  <sheetData>
    <row r="1">
      <c r="A1" s="89" t="inlineStr">
        <is>
          <t>LANDED COST BUILD — one row per parent. Landed cost is derived here, never typed into the price sheet.</t>
        </is>
      </c>
    </row>
    <row r="2">
      <c r="A2" s="92" t="inlineStr">
        <is>
          <t>EXW_USD and LANDED_RECORDED are LOOKUPS into "SKU with PRICES" — one source of truth. Never type a cost here.</t>
        </is>
      </c>
    </row>
    <row r="3">
      <c r="A3" s="88" t="inlineStr">
        <is>
          <t>FREIGHT_RATE (USD/CBM)</t>
        </is>
      </c>
      <c r="C3" s="100" t="n">
        <v>500</v>
      </c>
      <c r="D3" t="inlineStr">
        <is>
          <t>400 = Tanzania stock already landed   |   500 = new stock inbound</t>
        </is>
      </c>
    </row>
    <row r="5">
      <c r="A5" s="90" t="inlineStr">
        <is>
          <t>PARENT_SKU</t>
        </is>
      </c>
      <c r="B5" s="90" t="inlineStr">
        <is>
          <t>MODEL</t>
        </is>
      </c>
      <c r="C5" s="90" t="inlineStr">
        <is>
          <t>STOCK_STATUS</t>
        </is>
      </c>
      <c r="D5" s="90" t="inlineStr">
        <is>
          <t>QTY_ON_HAND</t>
        </is>
      </c>
      <c r="E5" s="90" t="inlineStr">
        <is>
          <t>COUNT_DATE</t>
        </is>
      </c>
      <c r="F5" s="90" t="inlineStr">
        <is>
          <t>VARIANTS</t>
        </is>
      </c>
      <c r="G5" s="90" t="inlineStr">
        <is>
          <t>EXW_USD</t>
        </is>
      </c>
      <c r="H5" s="90" t="inlineStr">
        <is>
          <t>UNIT_CBM</t>
        </is>
      </c>
      <c r="I5" s="90" t="inlineStr">
        <is>
          <t>FREIGHT_USD</t>
        </is>
      </c>
      <c r="J5" s="90" t="inlineStr">
        <is>
          <t>ONE_TIME_FEE</t>
        </is>
      </c>
      <c r="K5" s="90" t="inlineStr">
        <is>
          <t>ONE_TIME_QTY</t>
        </is>
      </c>
      <c r="L5" s="90" t="inlineStr">
        <is>
          <t>ONE_TIME/UNIT</t>
        </is>
      </c>
      <c r="M5" s="90" t="inlineStr">
        <is>
          <t>DUTY_CLEAR</t>
        </is>
      </c>
      <c r="N5" s="90" t="inlineStr">
        <is>
          <t>LANDED_DERIVED</t>
        </is>
      </c>
      <c r="O5" s="90" t="inlineStr">
        <is>
          <t>LANDED_RECORDED</t>
        </is>
      </c>
      <c r="P5" s="90" t="inlineStr">
        <is>
          <t>BASIS  /  WHY</t>
        </is>
      </c>
    </row>
    <row r="6">
      <c r="A6" s="91" t="inlineStr">
        <is>
          <t>UC-HOU-PHRO-001</t>
        </is>
      </c>
      <c r="B6" s="91" t="inlineStr">
        <is>
          <t>Pure Home</t>
        </is>
      </c>
      <c r="C6" s="95" t="inlineStr">
        <is>
          <t>FUTURE</t>
        </is>
      </c>
      <c r="D6" s="91" t="n">
        <v>0</v>
      </c>
      <c r="E6" s="91" t="inlineStr"/>
      <c r="F6" s="91" t="n">
        <v>1</v>
      </c>
      <c r="G6" s="91">
        <f>IFERROR(INDEX('SKU with PRICES'!$I:$I,MATCH($A6,'SKU with PRICES'!$H:$H,0)),"")</f>
        <v/>
      </c>
      <c r="H6">
        <f>IFERROR(SUMIF(LOGISTICS_PL!$C:$C,$A6,LOGISTICS_PL!$N:$N)/SUMIF(LOGISTICS_PL!$C:$C,$A6,LOGISTICS_PL!$E:$E),"")</f>
        <v/>
      </c>
      <c r="I6">
        <f>IF($H6="","",ROUND($H6*FREIGHT_RATE,2))</f>
        <v/>
      </c>
      <c r="J6" t="n">
        <v>440</v>
      </c>
      <c r="K6" t="n">
        <v>30</v>
      </c>
      <c r="L6">
        <f>IF(OR($J6="",$K6=""),"",ROUND($J6/$K6,2))</f>
        <v/>
      </c>
      <c r="N6">
        <f>IF($G6="","",ROUND($G6+IF($I6="",0,$I6)+IF($L6="",0,$L6)+IF($M6="",0,$M6),2))</f>
        <v/>
      </c>
      <c r="O6">
        <f>IFERROR(INDEX('SKU with PRICES'!$J:$J,MATCH($A6,'SKU with PRICES'!$H:$H,0)),"")</f>
        <v/>
      </c>
      <c r="P6">
        <f>IF($H6="",IF($O6&lt;&gt;"","RECORDED — landed cost typed, no carton data to verify it","NONE — no cost at all; cannot be priced or gated"),IF(COUNTIFS(LOGISTICS_PL!$C:$C,$A6,LOGISTICS_PL!$R:$R,"COMPARABLE")&gt;0,"ESTIMATE — freight from a comparable carton, not this product's own","DERIVED — freight measured from cartons"))</f>
        <v/>
      </c>
    </row>
    <row r="7">
      <c r="A7" s="91" t="inlineStr">
        <is>
          <t>UC-HOU-URO-001</t>
        </is>
      </c>
      <c r="B7" s="91" t="inlineStr">
        <is>
          <t>Ultra Pure</t>
        </is>
      </c>
      <c r="C7" s="95" t="inlineStr">
        <is>
          <t>FUTURE</t>
        </is>
      </c>
      <c r="D7" s="91" t="n">
        <v>0</v>
      </c>
      <c r="E7" s="91" t="inlineStr"/>
      <c r="F7" s="91" t="n">
        <v>1</v>
      </c>
      <c r="G7" s="91">
        <f>IFERROR(INDEX('SKU with PRICES'!$I:$I,MATCH($A7,'SKU with PRICES'!$H:$H,0)),"")</f>
        <v/>
      </c>
      <c r="H7">
        <f>IFERROR(SUMIF(LOGISTICS_PL!$C:$C,$A7,LOGISTICS_PL!$N:$N)/SUMIF(LOGISTICS_PL!$C:$C,$A7,LOGISTICS_PL!$E:$E),"")</f>
        <v/>
      </c>
      <c r="I7">
        <f>IF($H7="","",ROUND($H7*FREIGHT_RATE,2))</f>
        <v/>
      </c>
      <c r="L7">
        <f>IF(OR($J7="",$K7=""),"",ROUND($J7/$K7,2))</f>
        <v/>
      </c>
      <c r="N7">
        <f>IF($G7="","",ROUND($G7+IF($I7="",0,$I7)+IF($L7="",0,$L7)+IF($M7="",0,$M7),2))</f>
        <v/>
      </c>
      <c r="O7">
        <f>IFERROR(INDEX('SKU with PRICES'!$J:$J,MATCH($A7,'SKU with PRICES'!$H:$H,0)),"")</f>
        <v/>
      </c>
      <c r="P7">
        <f>IF($H7="",IF($O7&lt;&gt;"","RECORDED — landed cost typed, no carton data to verify it","NONE — no cost at all; cannot be priced or gated"),IF(COUNTIFS(LOGISTICS_PL!$C:$C,$A7,LOGISTICS_PL!$R:$R,"COMPARABLE")&gt;0,"ESTIMATE — freight from a comparable carton, not this product's own","DERIVED — freight measured from cartons"))</f>
        <v/>
      </c>
    </row>
    <row r="8">
      <c r="A8" s="91" t="inlineStr">
        <is>
          <t>UC-HOU-URO-002</t>
        </is>
      </c>
      <c r="B8" s="91" t="inlineStr">
        <is>
          <t>Ultra Pure 2</t>
        </is>
      </c>
      <c r="C8" s="95" t="inlineStr">
        <is>
          <t>FUTURE</t>
        </is>
      </c>
      <c r="D8" s="91" t="n">
        <v>0</v>
      </c>
      <c r="E8" s="91" t="inlineStr"/>
      <c r="F8" s="91" t="n">
        <v>1</v>
      </c>
      <c r="G8" s="91">
        <f>IFERROR(INDEX('SKU with PRICES'!$I:$I,MATCH($A8,'SKU with PRICES'!$H:$H,0)),"")</f>
        <v/>
      </c>
      <c r="H8">
        <f>IFERROR(SUMIF(LOGISTICS_PL!$C:$C,$A8,LOGISTICS_PL!$N:$N)/SUMIF(LOGISTICS_PL!$C:$C,$A8,LOGISTICS_PL!$E:$E),"")</f>
        <v/>
      </c>
      <c r="I8">
        <f>IF($H8="","",ROUND($H8*FREIGHT_RATE,2))</f>
        <v/>
      </c>
      <c r="L8">
        <f>IF(OR($J8="",$K8=""),"",ROUND($J8/$K8,2))</f>
        <v/>
      </c>
      <c r="N8">
        <f>IF($G8="","",ROUND($G8+IF($I8="",0,$I8)+IF($L8="",0,$L8)+IF($M8="",0,$M8),2))</f>
        <v/>
      </c>
      <c r="O8">
        <f>IFERROR(INDEX('SKU with PRICES'!$J:$J,MATCH($A8,'SKU with PRICES'!$H:$H,0)),"")</f>
        <v/>
      </c>
      <c r="P8">
        <f>IF($H8="",IF($O8&lt;&gt;"","RECORDED — landed cost typed, no carton data to verify it","NONE — no cost at all; cannot be priced or gated"),IF(COUNTIFS(LOGISTICS_PL!$C:$C,$A8,LOGISTICS_PL!$R:$R,"COMPARABLE")&gt;0,"ESTIMATE — freight from a comparable carton, not this product's own","DERIVED — freight measured from cartons"))</f>
        <v/>
      </c>
    </row>
    <row r="9">
      <c r="A9" s="91" t="inlineStr">
        <is>
          <t>UC-HOU-ROS-001</t>
        </is>
      </c>
      <c r="B9" s="91" t="inlineStr">
        <is>
          <t>Pure Blue</t>
        </is>
      </c>
      <c r="C9" s="95" t="inlineStr">
        <is>
          <t>FUTURE</t>
        </is>
      </c>
      <c r="D9" s="91" t="n">
        <v>0</v>
      </c>
      <c r="E9" s="91" t="inlineStr"/>
      <c r="F9" s="91" t="n">
        <v>1</v>
      </c>
      <c r="G9" s="91">
        <f>IFERROR(INDEX('SKU with PRICES'!$I:$I,MATCH($A9,'SKU with PRICES'!$H:$H,0)),"")</f>
        <v/>
      </c>
      <c r="H9">
        <f>IFERROR(SUMIF(LOGISTICS_PL!$C:$C,$A9,LOGISTICS_PL!$N:$N)/SUMIF(LOGISTICS_PL!$C:$C,$A9,LOGISTICS_PL!$E:$E),"")</f>
        <v/>
      </c>
      <c r="I9">
        <f>IF($H9="","",ROUND($H9*FREIGHT_RATE,2))</f>
        <v/>
      </c>
      <c r="L9">
        <f>IF(OR($J9="",$K9=""),"",ROUND($J9/$K9,2))</f>
        <v/>
      </c>
      <c r="N9">
        <f>IF($G9="","",ROUND($G9+IF($I9="",0,$I9)+IF($L9="",0,$L9)+IF($M9="",0,$M9),2))</f>
        <v/>
      </c>
      <c r="O9">
        <f>IFERROR(INDEX('SKU with PRICES'!$J:$J,MATCH($A9,'SKU with PRICES'!$H:$H,0)),"")</f>
        <v/>
      </c>
      <c r="P9">
        <f>IF($H9="",IF($O9&lt;&gt;"","RECORDED — landed cost typed, no carton data to verify it","NONE — no cost at all; cannot be priced or gated"),IF(COUNTIFS(LOGISTICS_PL!$C:$C,$A9,LOGISTICS_PL!$R:$R,"COMPARABLE")&gt;0,"ESTIMATE — freight from a comparable carton, not this product's own","DERIVED — freight measured from cartons"))</f>
        <v/>
      </c>
    </row>
    <row r="10">
      <c r="A10" s="91" t="inlineStr">
        <is>
          <t>UC-COM-ROS-002</t>
        </is>
      </c>
      <c r="B10" s="91" t="inlineStr">
        <is>
          <t>Aqua Stream 1200D</t>
        </is>
      </c>
      <c r="C10" s="95" t="inlineStr">
        <is>
          <t>FUTURE</t>
        </is>
      </c>
      <c r="D10" s="91" t="n">
        <v>0</v>
      </c>
      <c r="E10" s="91" t="inlineStr"/>
      <c r="F10" s="91" t="n">
        <v>1</v>
      </c>
      <c r="G10" s="91">
        <f>IFERROR(INDEX('SKU with PRICES'!$I:$I,MATCH($A10,'SKU with PRICES'!$H:$H,0)),"")</f>
        <v/>
      </c>
      <c r="H10">
        <f>IFERROR(SUMIF(LOGISTICS_PL!$C:$C,$A10,LOGISTICS_PL!$N:$N)/SUMIF(LOGISTICS_PL!$C:$C,$A10,LOGISTICS_PL!$E:$E),"")</f>
        <v/>
      </c>
      <c r="I10">
        <f>IF($H10="","",ROUND($H10*FREIGHT_RATE,2))</f>
        <v/>
      </c>
      <c r="L10">
        <f>IF(OR($J10="",$K10=""),"",ROUND($J10/$K10,2))</f>
        <v/>
      </c>
      <c r="N10">
        <f>IF($G10="","",ROUND($G10+IF($I10="",0,$I10)+IF($L10="",0,$L10)+IF($M10="",0,$M10),2))</f>
        <v/>
      </c>
      <c r="O10">
        <f>IFERROR(INDEX('SKU with PRICES'!$J:$J,MATCH($A10,'SKU with PRICES'!$H:$H,0)),"")</f>
        <v/>
      </c>
      <c r="P10">
        <f>IF($H10="",IF($O10&lt;&gt;"","RECORDED — landed cost typed, no carton data to verify it","NONE — no cost at all; cannot be priced or gated"),IF(COUNTIFS(LOGISTICS_PL!$C:$C,$A10,LOGISTICS_PL!$R:$R,"COMPARABLE")&gt;0,"ESTIMATE — freight from a comparable carton, not this product's own","DERIVED — freight measured from cartons"))</f>
        <v/>
      </c>
    </row>
    <row r="11">
      <c r="A11" s="91" t="inlineStr">
        <is>
          <t>UC-HOU-WPF-003</t>
        </is>
      </c>
      <c r="B11" s="91" t="inlineStr">
        <is>
          <t>Pure Shield</t>
        </is>
      </c>
      <c r="C11" s="95" t="inlineStr">
        <is>
          <t>FUTURE</t>
        </is>
      </c>
      <c r="D11" s="91" t="n">
        <v>0</v>
      </c>
      <c r="E11" s="91" t="inlineStr"/>
      <c r="F11" s="91" t="n">
        <v>1</v>
      </c>
      <c r="G11" s="91">
        <f>IFERROR(INDEX('SKU with PRICES'!$I:$I,MATCH($A11,'SKU with PRICES'!$H:$H,0)),"")</f>
        <v/>
      </c>
      <c r="H11">
        <f>IFERROR(SUMIF(LOGISTICS_PL!$C:$C,$A11,LOGISTICS_PL!$N:$N)/SUMIF(LOGISTICS_PL!$C:$C,$A11,LOGISTICS_PL!$E:$E),"")</f>
        <v/>
      </c>
      <c r="I11">
        <f>IF($H11="","",ROUND($H11*FREIGHT_RATE,2))</f>
        <v/>
      </c>
      <c r="J11" t="n">
        <v>200</v>
      </c>
      <c r="K11" t="n">
        <v>100</v>
      </c>
      <c r="L11">
        <f>IF(OR($J11="",$K11=""),"",ROUND($J11/$K11,2))</f>
        <v/>
      </c>
      <c r="N11">
        <f>IF($G11="","",ROUND($G11+IF($I11="",0,$I11)+IF($L11="",0,$L11)+IF($M11="",0,$M11),2))</f>
        <v/>
      </c>
      <c r="O11">
        <f>IFERROR(INDEX('SKU with PRICES'!$J:$J,MATCH($A11,'SKU with PRICES'!$H:$H,0)),"")</f>
        <v/>
      </c>
      <c r="P11">
        <f>IF($H11="",IF($O11&lt;&gt;"","RECORDED — landed cost typed, no carton data to verify it","NONE — no cost at all; cannot be priced or gated"),IF(COUNTIFS(LOGISTICS_PL!$C:$C,$A11,LOGISTICS_PL!$R:$R,"COMPARABLE")&gt;0,"ESTIMATE — freight from a comparable carton, not this product's own","DERIVED — freight measured from cartons"))</f>
        <v/>
      </c>
    </row>
    <row r="12">
      <c r="A12" s="91" t="inlineStr">
        <is>
          <t>UC-HOU-USF-004</t>
        </is>
      </c>
      <c r="B12" s="91" t="inlineStr">
        <is>
          <t>Aqua Drop</t>
        </is>
      </c>
      <c r="C12" s="95" t="inlineStr">
        <is>
          <t>FUTURE</t>
        </is>
      </c>
      <c r="D12" s="91" t="n">
        <v>0</v>
      </c>
      <c r="E12" s="91" t="inlineStr"/>
      <c r="F12" s="91" t="n">
        <v>1</v>
      </c>
      <c r="G12" s="91">
        <f>IFERROR(INDEX('SKU with PRICES'!$I:$I,MATCH($A12,'SKU with PRICES'!$H:$H,0)),"")</f>
        <v/>
      </c>
      <c r="H12">
        <f>IFERROR(SUMIF(LOGISTICS_PL!$C:$C,$A12,LOGISTICS_PL!$N:$N)/SUMIF(LOGISTICS_PL!$C:$C,$A12,LOGISTICS_PL!$E:$E),"")</f>
        <v/>
      </c>
      <c r="I12">
        <f>IF($H12="","",ROUND($H12*FREIGHT_RATE,2))</f>
        <v/>
      </c>
      <c r="L12">
        <f>IF(OR($J12="",$K12=""),"",ROUND($J12/$K12,2))</f>
        <v/>
      </c>
      <c r="N12">
        <f>IF($G12="","",ROUND($G12+IF($I12="",0,$I12)+IF($L12="",0,$L12)+IF($M12="",0,$M12),2))</f>
        <v/>
      </c>
      <c r="O12">
        <f>IFERROR(INDEX('SKU with PRICES'!$J:$J,MATCH($A12,'SKU with PRICES'!$H:$H,0)),"")</f>
        <v/>
      </c>
      <c r="P12">
        <f>IF($H12="",IF($O12&lt;&gt;"","RECORDED — landed cost typed, no carton data to verify it","NONE — no cost at all; cannot be priced or gated"),IF(COUNTIFS(LOGISTICS_PL!$C:$C,$A12,LOGISTICS_PL!$R:$R,"COMPARABLE")&gt;0,"ESTIMATE — freight from a comparable carton, not this product's own","DERIVED — freight measured from cartons"))</f>
        <v/>
      </c>
    </row>
    <row r="13">
      <c r="A13" s="91" t="inlineStr">
        <is>
          <t>UC-HOU-TAP-005</t>
        </is>
      </c>
      <c r="B13" s="91" t="inlineStr">
        <is>
          <t>Home sweet Home Filter set</t>
        </is>
      </c>
      <c r="C13" s="95" t="inlineStr">
        <is>
          <t>FUTURE</t>
        </is>
      </c>
      <c r="D13" s="91" t="n">
        <v>0</v>
      </c>
      <c r="E13" s="91" t="inlineStr"/>
      <c r="F13" s="91" t="n">
        <v>1</v>
      </c>
      <c r="G13" s="91">
        <f>IFERROR(INDEX('SKU with PRICES'!$I:$I,MATCH($A13,'SKU with PRICES'!$H:$H,0)),"")</f>
        <v/>
      </c>
      <c r="H13">
        <f>IFERROR(SUMIF(LOGISTICS_PL!$C:$C,$A13,LOGISTICS_PL!$N:$N)/SUMIF(LOGISTICS_PL!$C:$C,$A13,LOGISTICS_PL!$E:$E),"")</f>
        <v/>
      </c>
      <c r="I13">
        <f>IF($H13="","",ROUND($H13*FREIGHT_RATE,2))</f>
        <v/>
      </c>
      <c r="L13">
        <f>IF(OR($J13="",$K13=""),"",ROUND($J13/$K13,2))</f>
        <v/>
      </c>
      <c r="N13">
        <f>IF($G13="","",ROUND($G13+IF($I13="",0,$I13)+IF($L13="",0,$L13)+IF($M13="",0,$M13),2))</f>
        <v/>
      </c>
      <c r="O13">
        <f>IFERROR(INDEX('SKU with PRICES'!$J:$J,MATCH($A13,'SKU with PRICES'!$H:$H,0)),"")</f>
        <v/>
      </c>
      <c r="P13">
        <f>IF($H13="",IF($O13&lt;&gt;"","RECORDED — landed cost typed, no carton data to verify it","NONE — no cost at all; cannot be priced or gated"),IF(COUNTIFS(LOGISTICS_PL!$C:$C,$A13,LOGISTICS_PL!$R:$R,"COMPARABLE")&gt;0,"ESTIMATE — freight from a comparable carton, not this product's own","DERIVED — freight measured from cartons"))</f>
        <v/>
      </c>
    </row>
    <row r="14">
      <c r="A14" s="91" t="inlineStr">
        <is>
          <t>UC-HOU-TAPF-006</t>
        </is>
      </c>
      <c r="B14" s="91" t="inlineStr">
        <is>
          <t>Home sweet Home Filter</t>
        </is>
      </c>
      <c r="C14" s="99" t="inlineStr">
        <is>
          <t>IN_STOCK</t>
        </is>
      </c>
      <c r="D14" s="91" t="n">
        <v>93</v>
      </c>
      <c r="E14" s="91" t="inlineStr">
        <is>
          <t>2026-03-12</t>
        </is>
      </c>
      <c r="F14" s="91" t="n">
        <v>1</v>
      </c>
      <c r="G14" s="91">
        <f>IFERROR(INDEX('SKU with PRICES'!$I:$I,MATCH($A14,'SKU with PRICES'!$H:$H,0)),"")</f>
        <v/>
      </c>
      <c r="H14">
        <f>IFERROR(SUMIF(LOGISTICS_PL!$C:$C,$A14,LOGISTICS_PL!$N:$N)/SUMIF(LOGISTICS_PL!$C:$C,$A14,LOGISTICS_PL!$E:$E),"")</f>
        <v/>
      </c>
      <c r="I14">
        <f>IF($H14="","",ROUND($H14*FREIGHT_RATE,2))</f>
        <v/>
      </c>
      <c r="L14">
        <f>IF(OR($J14="",$K14=""),"",ROUND($J14/$K14,2))</f>
        <v/>
      </c>
      <c r="N14">
        <f>IF($G14="","",ROUND($G14+IF($I14="",0,$I14)+IF($L14="",0,$L14)+IF($M14="",0,$M14),2))</f>
        <v/>
      </c>
      <c r="O14">
        <f>IFERROR(INDEX('SKU with PRICES'!$J:$J,MATCH($A14,'SKU with PRICES'!$H:$H,0)),"")</f>
        <v/>
      </c>
      <c r="P14">
        <f>IF($H14="",IF($O14&lt;&gt;"","RECORDED — landed cost typed, no carton data to verify it","NONE — no cost at all; cannot be priced or gated"),IF(COUNTIFS(LOGISTICS_PL!$C:$C,$A14,LOGISTICS_PL!$R:$R,"COMPARABLE")&gt;0,"ESTIMATE — freight from a comparable carton, not this product's own","DERIVED — freight measured from cartons"))</f>
        <v/>
      </c>
    </row>
    <row r="15">
      <c r="A15" s="91" t="inlineStr">
        <is>
          <t>UC-HOU-WDFS-006</t>
        </is>
      </c>
      <c r="B15" s="91" t="inlineStr">
        <is>
          <t>Wireless Dispenser Filter Set</t>
        </is>
      </c>
      <c r="C15" s="99" t="inlineStr">
        <is>
          <t>IN_STOCK</t>
        </is>
      </c>
      <c r="D15" s="91" t="n">
        <v>58</v>
      </c>
      <c r="E15" s="91" t="inlineStr">
        <is>
          <t>2026-03-12</t>
        </is>
      </c>
      <c r="F15" s="91" t="n">
        <v>1</v>
      </c>
      <c r="G15" s="91">
        <f>IFERROR(INDEX('SKU with PRICES'!$I:$I,MATCH($A15,'SKU with PRICES'!$H:$H,0)),"")</f>
        <v/>
      </c>
      <c r="H15">
        <f>IFERROR(SUMIF(LOGISTICS_PL!$C:$C,$A15,LOGISTICS_PL!$N:$N)/SUMIF(LOGISTICS_PL!$C:$C,$A15,LOGISTICS_PL!$E:$E),"")</f>
        <v/>
      </c>
      <c r="I15">
        <f>IF($H15="","",ROUND($H15*FREIGHT_RATE,2))</f>
        <v/>
      </c>
      <c r="L15">
        <f>IF(OR($J15="",$K15=""),"",ROUND($J15/$K15,2))</f>
        <v/>
      </c>
      <c r="N15">
        <f>IF($G15="","",ROUND($G15+IF($I15="",0,$I15)+IF($L15="",0,$L15)+IF($M15="",0,$M15),2))</f>
        <v/>
      </c>
      <c r="O15">
        <f>IFERROR(INDEX('SKU with PRICES'!$J:$J,MATCH($A15,'SKU with PRICES'!$H:$H,0)),"")</f>
        <v/>
      </c>
      <c r="P15">
        <f>IF($H15="",IF($O15&lt;&gt;"","RECORDED — landed cost typed, no carton data to verify it","NONE — no cost at all; cannot be priced or gated"),IF(COUNTIFS(LOGISTICS_PL!$C:$C,$A15,LOGISTICS_PL!$R:$R,"COMPARABLE")&gt;0,"ESTIMATE — freight from a comparable carton, not this product's own","DERIVED — freight measured from cartons"))</f>
        <v/>
      </c>
    </row>
    <row r="16">
      <c r="A16" s="91" t="inlineStr">
        <is>
          <t>UC-HOU-DF-007</t>
        </is>
      </c>
      <c r="B16" s="91" t="inlineStr">
        <is>
          <t>Dispenser Filter</t>
        </is>
      </c>
      <c r="C16" s="99" t="inlineStr">
        <is>
          <t>IN_STOCK</t>
        </is>
      </c>
      <c r="D16" s="91" t="n">
        <v>41</v>
      </c>
      <c r="E16" s="91" t="inlineStr">
        <is>
          <t>2026-03-12</t>
        </is>
      </c>
      <c r="F16" s="91" t="n">
        <v>1</v>
      </c>
      <c r="G16" s="91">
        <f>IFERROR(INDEX('SKU with PRICES'!$I:$I,MATCH($A16,'SKU with PRICES'!$H:$H,0)),"")</f>
        <v/>
      </c>
      <c r="H16">
        <f>IFERROR(SUMIF(LOGISTICS_PL!$C:$C,$A16,LOGISTICS_PL!$N:$N)/SUMIF(LOGISTICS_PL!$C:$C,$A16,LOGISTICS_PL!$E:$E),"")</f>
        <v/>
      </c>
      <c r="I16">
        <f>IF($H16="","",ROUND($H16*FREIGHT_RATE,2))</f>
        <v/>
      </c>
      <c r="L16">
        <f>IF(OR($J16="",$K16=""),"",ROUND($J16/$K16,2))</f>
        <v/>
      </c>
      <c r="N16">
        <f>IF($G16="","",ROUND($G16+IF($I16="",0,$I16)+IF($L16="",0,$L16)+IF($M16="",0,$M16),2))</f>
        <v/>
      </c>
      <c r="O16">
        <f>IFERROR(INDEX('SKU with PRICES'!$J:$J,MATCH($A16,'SKU with PRICES'!$H:$H,0)),"")</f>
        <v/>
      </c>
      <c r="P16">
        <f>IF($H16="",IF($O16&lt;&gt;"","RECORDED — landed cost typed, no carton data to verify it","NONE — no cost at all; cannot be priced or gated"),IF(COUNTIFS(LOGISTICS_PL!$C:$C,$A16,LOGISTICS_PL!$R:$R,"COMPARABLE")&gt;0,"ESTIMATE — freight from a comparable carton, not this product's own","DERIVED — freight measured from cartons"))</f>
        <v/>
      </c>
    </row>
    <row r="17">
      <c r="A17" s="91" t="inlineStr">
        <is>
          <t>UC-BOG-SSB-008</t>
        </is>
      </c>
      <c r="B17" s="91" t="inlineStr">
        <is>
          <t>Hydra Flux</t>
        </is>
      </c>
      <c r="C17" s="99" t="inlineStr">
        <is>
          <t>IN_STOCK</t>
        </is>
      </c>
      <c r="D17" s="91" t="n">
        <v>21</v>
      </c>
      <c r="E17" s="91" t="inlineStr">
        <is>
          <t>2026-03-12</t>
        </is>
      </c>
      <c r="F17" s="91" t="n">
        <v>4</v>
      </c>
      <c r="G17" s="91">
        <f>IFERROR(INDEX('SKU with PRICES'!$I:$I,MATCH($A17,'SKU with PRICES'!$H:$H,0)),"")</f>
        <v/>
      </c>
      <c r="H17">
        <f>IFERROR(SUMIF(LOGISTICS_PL!$C:$C,$A17,LOGISTICS_PL!$N:$N)/SUMIF(LOGISTICS_PL!$C:$C,$A17,LOGISTICS_PL!$E:$E),"")</f>
        <v/>
      </c>
      <c r="I17">
        <f>IF($H17="","",ROUND($H17*FREIGHT_RATE,2))</f>
        <v/>
      </c>
      <c r="L17">
        <f>IF(OR($J17="",$K17=""),"",ROUND($J17/$K17,2))</f>
        <v/>
      </c>
      <c r="N17">
        <f>IF($G17="","",ROUND($G17+IF($I17="",0,$I17)+IF($L17="",0,$L17)+IF($M17="",0,$M17),2))</f>
        <v/>
      </c>
      <c r="O17">
        <f>IFERROR(INDEX('SKU with PRICES'!$J:$J,MATCH($A17,'SKU with PRICES'!$H:$H,0)),"")</f>
        <v/>
      </c>
      <c r="P17">
        <f>IF($H17="",IF($O17&lt;&gt;"","RECORDED — landed cost typed, no carton data to verify it","NONE — no cost at all; cannot be priced or gated"),IF(COUNTIFS(LOGISTICS_PL!$C:$C,$A17,LOGISTICS_PL!$R:$R,"COMPARABLE")&gt;0,"ESTIMATE — freight from a comparable carton, not this product's own","DERIVED — freight measured from cartons"))</f>
        <v/>
      </c>
    </row>
    <row r="18">
      <c r="A18" s="91" t="inlineStr">
        <is>
          <t>UC-BOG-TRB-009</t>
        </is>
      </c>
      <c r="B18" s="91" t="inlineStr">
        <is>
          <t>Truva Go</t>
        </is>
      </c>
      <c r="C18" s="99" t="inlineStr">
        <is>
          <t>IN_STOCK</t>
        </is>
      </c>
      <c r="D18" s="91" t="n">
        <v>37</v>
      </c>
      <c r="E18" s="91" t="inlineStr">
        <is>
          <t>2026-03-12</t>
        </is>
      </c>
      <c r="F18" s="91" t="n">
        <v>3</v>
      </c>
      <c r="G18" s="91">
        <f>IFERROR(INDEX('SKU with PRICES'!$I:$I,MATCH($A18,'SKU with PRICES'!$H:$H,0)),"")</f>
        <v/>
      </c>
      <c r="H18">
        <f>IFERROR(SUMIF(LOGISTICS_PL!$C:$C,$A18,LOGISTICS_PL!$N:$N)/SUMIF(LOGISTICS_PL!$C:$C,$A18,LOGISTICS_PL!$E:$E),"")</f>
        <v/>
      </c>
      <c r="I18">
        <f>IF($H18="","",ROUND($H18*FREIGHT_RATE,2))</f>
        <v/>
      </c>
      <c r="L18">
        <f>IF(OR($J18="",$K18=""),"",ROUND($J18/$K18,2))</f>
        <v/>
      </c>
      <c r="N18">
        <f>IF($G18="","",ROUND($G18+IF($I18="",0,$I18)+IF($L18="",0,$L18)+IF($M18="",0,$M18),2))</f>
        <v/>
      </c>
      <c r="O18">
        <f>IFERROR(INDEX('SKU with PRICES'!$J:$J,MATCH($A18,'SKU with PRICES'!$H:$H,0)),"")</f>
        <v/>
      </c>
      <c r="P18">
        <f>IF($H18="",IF($O18&lt;&gt;"","RECORDED — landed cost typed, no carton data to verify it","NONE — no cost at all; cannot be priced or gated"),IF(COUNTIFS(LOGISTICS_PL!$C:$C,$A18,LOGISTICS_PL!$R:$R,"COMPARABLE")&gt;0,"ESTIMATE — freight from a comparable carton, not this product's own","DERIVED — freight measured from cartons"))</f>
        <v/>
      </c>
    </row>
    <row r="19">
      <c r="A19" s="91" t="inlineStr">
        <is>
          <t>UC-BOG-TRB-010</t>
        </is>
      </c>
      <c r="B19" s="91" t="inlineStr">
        <is>
          <t>Viva Drop</t>
        </is>
      </c>
      <c r="C19" s="99" t="inlineStr">
        <is>
          <t>IN_STOCK</t>
        </is>
      </c>
      <c r="D19" s="91" t="n">
        <v>70</v>
      </c>
      <c r="E19" s="91" t="inlineStr">
        <is>
          <t>2026-03-12</t>
        </is>
      </c>
      <c r="F19" s="91" t="n">
        <v>2</v>
      </c>
      <c r="G19" s="91">
        <f>IFERROR(INDEX('SKU with PRICES'!$I:$I,MATCH($A19,'SKU with PRICES'!$H:$H,0)),"")</f>
        <v/>
      </c>
      <c r="H19">
        <f>IFERROR(SUMIF(LOGISTICS_PL!$C:$C,$A19,LOGISTICS_PL!$N:$N)/SUMIF(LOGISTICS_PL!$C:$C,$A19,LOGISTICS_PL!$E:$E),"")</f>
        <v/>
      </c>
      <c r="I19">
        <f>IF($H19="","",ROUND($H19*FREIGHT_RATE,2))</f>
        <v/>
      </c>
      <c r="L19">
        <f>IF(OR($J19="",$K19=""),"",ROUND($J19/$K19,2))</f>
        <v/>
      </c>
      <c r="N19">
        <f>IF($G19="","",ROUND($G19+IF($I19="",0,$I19)+IF($L19="",0,$L19)+IF($M19="",0,$M19),2))</f>
        <v/>
      </c>
      <c r="O19">
        <f>IFERROR(INDEX('SKU with PRICES'!$J:$J,MATCH($A19,'SKU with PRICES'!$H:$H,0)),"")</f>
        <v/>
      </c>
      <c r="P19">
        <f>IF($H19="",IF($O19&lt;&gt;"","RECORDED — landed cost typed, no carton data to verify it","NONE — no cost at all; cannot be priced or gated"),IF(COUNTIFS(LOGISTICS_PL!$C:$C,$A19,LOGISTICS_PL!$R:$R,"COMPARABLE")&gt;0,"ESTIMATE — freight from a comparable carton, not this product's own","DERIVED — freight measured from cartons"))</f>
        <v/>
      </c>
    </row>
    <row r="20">
      <c r="A20" s="91" t="inlineStr">
        <is>
          <t>UC-BOG-TRB-011</t>
        </is>
      </c>
      <c r="B20" s="91" t="inlineStr">
        <is>
          <t>Gym Buddy</t>
        </is>
      </c>
      <c r="C20" s="99" t="inlineStr">
        <is>
          <t>IN_STOCK</t>
        </is>
      </c>
      <c r="D20" s="91" t="n">
        <v>24</v>
      </c>
      <c r="E20" s="91" t="inlineStr">
        <is>
          <t>2026-03-12</t>
        </is>
      </c>
      <c r="F20" s="91" t="n">
        <v>2</v>
      </c>
      <c r="G20" s="91">
        <f>IFERROR(INDEX('SKU with PRICES'!$I:$I,MATCH($A20,'SKU with PRICES'!$H:$H,0)),"")</f>
        <v/>
      </c>
      <c r="H20">
        <f>IFERROR(SUMIF(LOGISTICS_PL!$C:$C,$A20,LOGISTICS_PL!$N:$N)/SUMIF(LOGISTICS_PL!$C:$C,$A20,LOGISTICS_PL!$E:$E),"")</f>
        <v/>
      </c>
      <c r="I20">
        <f>IF($H20="","",ROUND($H20*FREIGHT_RATE,2))</f>
        <v/>
      </c>
      <c r="L20">
        <f>IF(OR($J20="",$K20=""),"",ROUND($J20/$K20,2))</f>
        <v/>
      </c>
      <c r="N20">
        <f>IF($G20="","",ROUND($G20+IF($I20="",0,$I20)+IF($L20="",0,$L20)+IF($M20="",0,$M20),2))</f>
        <v/>
      </c>
      <c r="O20">
        <f>IFERROR(INDEX('SKU with PRICES'!$J:$J,MATCH($A20,'SKU with PRICES'!$H:$H,0)),"")</f>
        <v/>
      </c>
      <c r="P20">
        <f>IF($H20="",IF($O20&lt;&gt;"","RECORDED — landed cost typed, no carton data to verify it","NONE — no cost at all; cannot be priced or gated"),IF(COUNTIFS(LOGISTICS_PL!$C:$C,$A20,LOGISTICS_PL!$R:$R,"COMPARABLE")&gt;0,"ESTIMATE — freight from a comparable carton, not this product's own","DERIVED — freight measured from cartons"))</f>
        <v/>
      </c>
    </row>
    <row r="21">
      <c r="A21" s="91" t="inlineStr">
        <is>
          <t>UC-BOG-FLB-012</t>
        </is>
      </c>
      <c r="B21" s="91" t="inlineStr">
        <is>
          <t>Timbo</t>
        </is>
      </c>
      <c r="C21" s="99" t="inlineStr">
        <is>
          <t>IN_STOCK</t>
        </is>
      </c>
      <c r="D21" s="91" t="n">
        <v>3</v>
      </c>
      <c r="E21" s="91" t="inlineStr">
        <is>
          <t>2026-03-12</t>
        </is>
      </c>
      <c r="F21" s="91" t="n">
        <v>1</v>
      </c>
      <c r="G21" s="91">
        <f>IFERROR(INDEX('SKU with PRICES'!$I:$I,MATCH($A21,'SKU with PRICES'!$H:$H,0)),"")</f>
        <v/>
      </c>
      <c r="H21">
        <f>IFERROR(SUMIF(LOGISTICS_PL!$C:$C,$A21,LOGISTICS_PL!$N:$N)/SUMIF(LOGISTICS_PL!$C:$C,$A21,LOGISTICS_PL!$E:$E),"")</f>
        <v/>
      </c>
      <c r="I21">
        <f>IF($H21="","",ROUND($H21*FREIGHT_RATE,2))</f>
        <v/>
      </c>
      <c r="L21">
        <f>IF(OR($J21="",$K21=""),"",ROUND($J21/$K21,2))</f>
        <v/>
      </c>
      <c r="N21">
        <f>IF($G21="","",ROUND($G21+IF($I21="",0,$I21)+IF($L21="",0,$L21)+IF($M21="",0,$M21),2))</f>
        <v/>
      </c>
      <c r="O21">
        <f>IFERROR(INDEX('SKU with PRICES'!$J:$J,MATCH($A21,'SKU with PRICES'!$H:$H,0)),"")</f>
        <v/>
      </c>
      <c r="P21">
        <f>IF($H21="",IF($O21&lt;&gt;"","RECORDED — landed cost typed, no carton data to verify it","NONE — no cost at all; cannot be priced or gated"),IF(COUNTIFS(LOGISTICS_PL!$C:$C,$A21,LOGISTICS_PL!$R:$R,"COMPARABLE")&gt;0,"ESTIMATE — freight from a comparable carton, not this product's own","DERIVED — freight measured from cartons"))</f>
        <v/>
      </c>
    </row>
    <row r="22">
      <c r="A22" s="91" t="inlineStr">
        <is>
          <t>UC-BOG-SQB-013</t>
        </is>
      </c>
      <c r="B22" s="91" t="inlineStr">
        <is>
          <t>Breeze</t>
        </is>
      </c>
      <c r="C22" s="95" t="inlineStr">
        <is>
          <t>FUTURE</t>
        </is>
      </c>
      <c r="D22" s="91" t="n">
        <v>0</v>
      </c>
      <c r="E22" s="91" t="inlineStr"/>
      <c r="F22" s="91" t="n">
        <v>1</v>
      </c>
      <c r="G22" s="91">
        <f>IFERROR(INDEX('SKU with PRICES'!$I:$I,MATCH($A22,'SKU with PRICES'!$H:$H,0)),"")</f>
        <v/>
      </c>
      <c r="H22">
        <f>IFERROR(SUMIF(LOGISTICS_PL!$C:$C,$A22,LOGISTICS_PL!$N:$N)/SUMIF(LOGISTICS_PL!$C:$C,$A22,LOGISTICS_PL!$E:$E),"")</f>
        <v/>
      </c>
      <c r="I22">
        <f>IF($H22="","",ROUND($H22*FREIGHT_RATE,2))</f>
        <v/>
      </c>
      <c r="L22">
        <f>IF(OR($J22="",$K22=""),"",ROUND($J22/$K22,2))</f>
        <v/>
      </c>
      <c r="N22">
        <f>IF($G22="","",ROUND($G22+IF($I22="",0,$I22)+IF($L22="",0,$L22)+IF($M22="",0,$M22),2))</f>
        <v/>
      </c>
      <c r="O22">
        <f>IFERROR(INDEX('SKU with PRICES'!$J:$J,MATCH($A22,'SKU with PRICES'!$H:$H,0)),"")</f>
        <v/>
      </c>
      <c r="P22">
        <f>IF($H22="",IF($O22&lt;&gt;"","RECORDED — landed cost typed, no carton data to verify it","NONE — no cost at all; cannot be priced or gated"),IF(COUNTIFS(LOGISTICS_PL!$C:$C,$A22,LOGISTICS_PL!$R:$R,"COMPARABLE")&gt;0,"ESTIMATE — freight from a comparable carton, not this product's own","DERIVED — freight measured from cartons"))</f>
        <v/>
      </c>
    </row>
    <row r="23">
      <c r="A23" s="91" t="inlineStr">
        <is>
          <t>UC-BOG-SQB-014</t>
        </is>
      </c>
      <c r="B23" s="91" t="inlineStr">
        <is>
          <t>Flex</t>
        </is>
      </c>
      <c r="C23" s="99" t="inlineStr">
        <is>
          <t>IN_STOCK</t>
        </is>
      </c>
      <c r="D23" s="91" t="n">
        <v>76</v>
      </c>
      <c r="E23" s="91" t="inlineStr">
        <is>
          <t>2026-03-12</t>
        </is>
      </c>
      <c r="F23" s="91" t="n">
        <v>2</v>
      </c>
      <c r="G23" s="91">
        <f>IFERROR(INDEX('SKU with PRICES'!$I:$I,MATCH($A23,'SKU with PRICES'!$H:$H,0)),"")</f>
        <v/>
      </c>
      <c r="H23">
        <f>IFERROR(SUMIF(LOGISTICS_PL!$C:$C,$A23,LOGISTICS_PL!$N:$N)/SUMIF(LOGISTICS_PL!$C:$C,$A23,LOGISTICS_PL!$E:$E),"")</f>
        <v/>
      </c>
      <c r="I23">
        <f>IF($H23="","",ROUND($H23*FREIGHT_RATE,2))</f>
        <v/>
      </c>
      <c r="L23">
        <f>IF(OR($J23="",$K23=""),"",ROUND($J23/$K23,2))</f>
        <v/>
      </c>
      <c r="N23">
        <f>IF($G23="","",ROUND($G23+IF($I23="",0,$I23)+IF($L23="",0,$L23)+IF($M23="",0,$M23),2))</f>
        <v/>
      </c>
      <c r="O23">
        <f>IFERROR(INDEX('SKU with PRICES'!$J:$J,MATCH($A23,'SKU with PRICES'!$H:$H,0)),"")</f>
        <v/>
      </c>
      <c r="P23">
        <f>IF($H23="",IF($O23&lt;&gt;"","RECORDED — landed cost typed, no carton data to verify it","NONE — no cost at all; cannot be priced or gated"),IF(COUNTIFS(LOGISTICS_PL!$C:$C,$A23,LOGISTICS_PL!$R:$R,"COMPARABLE")&gt;0,"ESTIMATE — freight from a comparable carton, not this product's own","DERIVED — freight measured from cartons"))</f>
        <v/>
      </c>
    </row>
    <row r="24">
      <c r="A24" s="91" t="inlineStr">
        <is>
          <t>UC-BOG-UF-100</t>
        </is>
      </c>
      <c r="B24" s="91" t="inlineStr">
        <is>
          <t>Ultra Fold</t>
        </is>
      </c>
      <c r="C24" s="95" t="inlineStr">
        <is>
          <t>FUTURE</t>
        </is>
      </c>
      <c r="D24" s="91" t="n">
        <v>0</v>
      </c>
      <c r="E24" s="91" t="inlineStr"/>
      <c r="F24" s="91" t="n">
        <v>1</v>
      </c>
      <c r="G24" s="91">
        <f>IFERROR(INDEX('SKU with PRICES'!$I:$I,MATCH($A24,'SKU with PRICES'!$H:$H,0)),"")</f>
        <v/>
      </c>
      <c r="H24">
        <f>IFERROR(SUMIF(LOGISTICS_PL!$C:$C,$A24,LOGISTICS_PL!$N:$N)/SUMIF(LOGISTICS_PL!$C:$C,$A24,LOGISTICS_PL!$E:$E),"")</f>
        <v/>
      </c>
      <c r="I24">
        <f>IF($H24="","",ROUND($H24*FREIGHT_RATE,2))</f>
        <v/>
      </c>
      <c r="L24">
        <f>IF(OR($J24="",$K24=""),"",ROUND($J24/$K24,2))</f>
        <v/>
      </c>
      <c r="N24">
        <f>IF($G24="","",ROUND($G24+IF($I24="",0,$I24)+IF($L24="",0,$L24)+IF($M24="",0,$M24),2))</f>
        <v/>
      </c>
      <c r="O24">
        <f>IFERROR(INDEX('SKU with PRICES'!$J:$J,MATCH($A24,'SKU with PRICES'!$H:$H,0)),"")</f>
        <v/>
      </c>
      <c r="P24">
        <f>IF($H24="",IF($O24&lt;&gt;"","RECORDED — landed cost typed, no carton data to verify it","NONE — no cost at all; cannot be priced or gated"),IF(COUNTIFS(LOGISTICS_PL!$C:$C,$A24,LOGISTICS_PL!$R:$R,"COMPARABLE")&gt;0,"ESTIMATE — freight from a comparable carton, not this product's own","DERIVED — freight measured from cartons"))</f>
        <v/>
      </c>
    </row>
    <row r="25">
      <c r="A25" s="91" t="inlineStr">
        <is>
          <t>UC-BOG-FCA-015</t>
        </is>
      </c>
      <c r="B25" s="91" t="inlineStr">
        <is>
          <t>Filter Squeeze Ahlstrom</t>
        </is>
      </c>
      <c r="C25" s="99" t="inlineStr">
        <is>
          <t>IN_STOCK</t>
        </is>
      </c>
      <c r="D25" s="91" t="n">
        <v>351</v>
      </c>
      <c r="E25" s="91" t="inlineStr">
        <is>
          <t>2026-03-12</t>
        </is>
      </c>
      <c r="F25" s="91" t="n">
        <v>1</v>
      </c>
      <c r="G25" s="91">
        <f>IFERROR(INDEX('SKU with PRICES'!$I:$I,MATCH($A25,'SKU with PRICES'!$H:$H,0)),"")</f>
        <v/>
      </c>
      <c r="H25">
        <f>IFERROR(SUMIF(LOGISTICS_PL!$C:$C,$A25,LOGISTICS_PL!$N:$N)/SUMIF(LOGISTICS_PL!$C:$C,$A25,LOGISTICS_PL!$E:$E),"")</f>
        <v/>
      </c>
      <c r="I25">
        <f>IF($H25="","",ROUND($H25*FREIGHT_RATE,2))</f>
        <v/>
      </c>
      <c r="L25">
        <f>IF(OR($J25="",$K25=""),"",ROUND($J25/$K25,2))</f>
        <v/>
      </c>
      <c r="N25">
        <f>IF($G25="","",ROUND($G25+IF($I25="",0,$I25)+IF($L25="",0,$L25)+IF($M25="",0,$M25),2))</f>
        <v/>
      </c>
      <c r="O25">
        <f>IFERROR(INDEX('SKU with PRICES'!$J:$J,MATCH($A25,'SKU with PRICES'!$H:$H,0)),"")</f>
        <v/>
      </c>
      <c r="P25">
        <f>IF($H25="",IF($O25&lt;&gt;"","RECORDED — landed cost typed, no carton data to verify it","NONE — no cost at all; cannot be priced or gated"),IF(COUNTIFS(LOGISTICS_PL!$C:$C,$A25,LOGISTICS_PL!$R:$R,"COMPARABLE")&gt;0,"ESTIMATE — freight from a comparable carton, not this product's own","DERIVED — freight measured from cartons"))</f>
        <v/>
      </c>
    </row>
    <row r="26">
      <c r="A26" s="91" t="inlineStr">
        <is>
          <t>UC-BOG-FST-016</t>
        </is>
      </c>
      <c r="B26" s="91" t="inlineStr">
        <is>
          <t>Survivor</t>
        </is>
      </c>
      <c r="C26" s="99" t="inlineStr">
        <is>
          <t>IN_STOCK</t>
        </is>
      </c>
      <c r="D26" s="91" t="n">
        <v>34</v>
      </c>
      <c r="E26" s="91" t="inlineStr">
        <is>
          <t>2026-03-12</t>
        </is>
      </c>
      <c r="F26" s="91" t="n">
        <v>2</v>
      </c>
      <c r="G26" s="91">
        <f>IFERROR(INDEX('SKU with PRICES'!$I:$I,MATCH($A26,'SKU with PRICES'!$H:$H,0)),"")</f>
        <v/>
      </c>
      <c r="H26">
        <f>IFERROR(SUMIF(LOGISTICS_PL!$C:$C,$A26,LOGISTICS_PL!$N:$N)/SUMIF(LOGISTICS_PL!$C:$C,$A26,LOGISTICS_PL!$E:$E),"")</f>
        <v/>
      </c>
      <c r="I26">
        <f>IF($H26="","",ROUND($H26*FREIGHT_RATE,2))</f>
        <v/>
      </c>
      <c r="L26">
        <f>IF(OR($J26="",$K26=""),"",ROUND($J26/$K26,2))</f>
        <v/>
      </c>
      <c r="N26">
        <f>IF($G26="","",ROUND($G26+IF($I26="",0,$I26)+IF($L26="",0,$L26)+IF($M26="",0,$M26),2))</f>
        <v/>
      </c>
      <c r="O26">
        <f>IFERROR(INDEX('SKU with PRICES'!$J:$J,MATCH($A26,'SKU with PRICES'!$H:$H,0)),"")</f>
        <v/>
      </c>
      <c r="P26">
        <f>IF($H26="",IF($O26&lt;&gt;"","RECORDED — landed cost typed, no carton data to verify it","NONE — no cost at all; cannot be priced or gated"),IF(COUNTIFS(LOGISTICS_PL!$C:$C,$A26,LOGISTICS_PL!$R:$R,"COMPARABLE")&gt;0,"ESTIMATE — freight from a comparable carton, not this product's own","DERIVED — freight measured from cartons"))</f>
        <v/>
      </c>
    </row>
    <row r="27">
      <c r="A27" s="91" t="inlineStr">
        <is>
          <t>UC-BOG-FCS-017</t>
        </is>
      </c>
      <c r="B27" s="91" t="inlineStr">
        <is>
          <t>Survivor  filter</t>
        </is>
      </c>
      <c r="C27" s="95" t="inlineStr">
        <is>
          <t>FUTURE</t>
        </is>
      </c>
      <c r="D27" s="91" t="n">
        <v>0</v>
      </c>
      <c r="E27" s="91" t="inlineStr"/>
      <c r="F27" s="91" t="n">
        <v>1</v>
      </c>
      <c r="G27" s="91">
        <f>IFERROR(INDEX('SKU with PRICES'!$I:$I,MATCH($A27,'SKU with PRICES'!$H:$H,0)),"")</f>
        <v/>
      </c>
      <c r="H27">
        <f>IFERROR(SUMIF(LOGISTICS_PL!$C:$C,$A27,LOGISTICS_PL!$N:$N)/SUMIF(LOGISTICS_PL!$C:$C,$A27,LOGISTICS_PL!$E:$E),"")</f>
        <v/>
      </c>
      <c r="I27">
        <f>IF($H27="","",ROUND($H27*FREIGHT_RATE,2))</f>
        <v/>
      </c>
      <c r="L27">
        <f>IF(OR($J27="",$K27=""),"",ROUND($J27/$K27,2))</f>
        <v/>
      </c>
      <c r="N27">
        <f>IF($G27="","",ROUND($G27+IF($I27="",0,$I27)+IF($L27="",0,$L27)+IF($M27="",0,$M27),2))</f>
        <v/>
      </c>
      <c r="O27">
        <f>IFERROR(INDEX('SKU with PRICES'!$J:$J,MATCH($A27,'SKU with PRICES'!$H:$H,0)),"")</f>
        <v/>
      </c>
      <c r="P27">
        <f>IF($H27="",IF($O27&lt;&gt;"","RECORDED — landed cost typed, no carton data to verify it","NONE — no cost at all; cannot be priced or gated"),IF(COUNTIFS(LOGISTICS_PL!$C:$C,$A27,LOGISTICS_PL!$R:$R,"COMPARABLE")&gt;0,"ESTIMATE — freight from a comparable carton, not this product's own","DERIVED — freight measured from cartons"))</f>
        <v/>
      </c>
    </row>
    <row r="28">
      <c r="A28" s="91" t="inlineStr">
        <is>
          <t>UC-BOG-SHL-018</t>
        </is>
      </c>
      <c r="B28" s="91" t="inlineStr">
        <is>
          <t>Shell</t>
        </is>
      </c>
      <c r="C28" s="99" t="inlineStr">
        <is>
          <t>IN_STOCK</t>
        </is>
      </c>
      <c r="D28" s="91" t="n">
        <v>50</v>
      </c>
      <c r="E28" s="91" t="inlineStr">
        <is>
          <t>2026-03-12</t>
        </is>
      </c>
      <c r="F28" s="91" t="n">
        <v>1</v>
      </c>
      <c r="G28" s="91">
        <f>IFERROR(INDEX('SKU with PRICES'!$I:$I,MATCH($A28,'SKU with PRICES'!$H:$H,0)),"")</f>
        <v/>
      </c>
      <c r="H28">
        <f>IFERROR(SUMIF(LOGISTICS_PL!$C:$C,$A28,LOGISTICS_PL!$N:$N)/SUMIF(LOGISTICS_PL!$C:$C,$A28,LOGISTICS_PL!$E:$E),"")</f>
        <v/>
      </c>
      <c r="I28">
        <f>IF($H28="","",ROUND($H28*FREIGHT_RATE,2))</f>
        <v/>
      </c>
      <c r="L28">
        <f>IF(OR($J28="",$K28=""),"",ROUND($J28/$K28,2))</f>
        <v/>
      </c>
      <c r="N28">
        <f>IF($G28="","",ROUND($G28+IF($I28="",0,$I28)+IF($L28="",0,$L28)+IF($M28="",0,$M28),2))</f>
        <v/>
      </c>
      <c r="O28">
        <f>IFERROR(INDEX('SKU with PRICES'!$J:$J,MATCH($A28,'SKU with PRICES'!$H:$H,0)),"")</f>
        <v/>
      </c>
      <c r="P28">
        <f>IF($H28="",IF($O28&lt;&gt;"","RECORDED — landed cost typed, no carton data to verify it","NONE — no cost at all; cannot be priced or gated"),IF(COUNTIFS(LOGISTICS_PL!$C:$C,$A28,LOGISTICS_PL!$R:$R,"COMPARABLE")&gt;0,"ESTIMATE — freight from a comparable carton, not this product's own","DERIVED — freight measured from cartons"))</f>
        <v/>
      </c>
    </row>
    <row r="29">
      <c r="A29" s="91" t="inlineStr">
        <is>
          <t>UC-SKW-SHF-019</t>
        </is>
      </c>
      <c r="B29" s="91" t="inlineStr">
        <is>
          <t>Chanel</t>
        </is>
      </c>
      <c r="C29" s="99" t="inlineStr">
        <is>
          <t>IN_STOCK</t>
        </is>
      </c>
      <c r="D29" s="91" t="n">
        <v>60</v>
      </c>
      <c r="E29" s="91" t="inlineStr">
        <is>
          <t>2026-03-12</t>
        </is>
      </c>
      <c r="F29" s="91" t="n">
        <v>1</v>
      </c>
      <c r="G29" s="91">
        <f>IFERROR(INDEX('SKU with PRICES'!$I:$I,MATCH($A29,'SKU with PRICES'!$H:$H,0)),"")</f>
        <v/>
      </c>
      <c r="H29">
        <f>IFERROR(SUMIF(LOGISTICS_PL!$C:$C,$A29,LOGISTICS_PL!$N:$N)/SUMIF(LOGISTICS_PL!$C:$C,$A29,LOGISTICS_PL!$E:$E),"")</f>
        <v/>
      </c>
      <c r="I29">
        <f>IF($H29="","",ROUND($H29*FREIGHT_RATE,2))</f>
        <v/>
      </c>
      <c r="L29">
        <f>IF(OR($J29="",$K29=""),"",ROUND($J29/$K29,2))</f>
        <v/>
      </c>
      <c r="N29">
        <f>IF($G29="","",ROUND($G29+IF($I29="",0,$I29)+IF($L29="",0,$L29)+IF($M29="",0,$M29),2))</f>
        <v/>
      </c>
      <c r="O29">
        <f>IFERROR(INDEX('SKU with PRICES'!$J:$J,MATCH($A29,'SKU with PRICES'!$H:$H,0)),"")</f>
        <v/>
      </c>
      <c r="P29">
        <f>IF($H29="",IF($O29&lt;&gt;"","RECORDED — landed cost typed, no carton data to verify it","NONE — no cost at all; cannot be priced or gated"),IF(COUNTIFS(LOGISTICS_PL!$C:$C,$A29,LOGISTICS_PL!$R:$R,"COMPARABLE")&gt;0,"ESTIMATE — freight from a comparable carton, not this product's own","DERIVED — freight measured from cartons"))</f>
        <v/>
      </c>
    </row>
    <row r="30">
      <c r="A30" s="91" t="inlineStr">
        <is>
          <t>UC-SKW-SHF-020</t>
        </is>
      </c>
      <c r="B30" s="91" t="inlineStr">
        <is>
          <t>Derma Care</t>
        </is>
      </c>
      <c r="C30" s="99" t="inlineStr">
        <is>
          <t>IN_STOCK</t>
        </is>
      </c>
      <c r="D30" s="91" t="n">
        <v>50</v>
      </c>
      <c r="E30" s="91" t="inlineStr">
        <is>
          <t>2026-03-12</t>
        </is>
      </c>
      <c r="F30" s="91" t="n">
        <v>1</v>
      </c>
      <c r="G30" s="91">
        <f>IFERROR(INDEX('SKU with PRICES'!$I:$I,MATCH($A30,'SKU with PRICES'!$H:$H,0)),"")</f>
        <v/>
      </c>
      <c r="H30">
        <f>IFERROR(SUMIF(LOGISTICS_PL!$C:$C,$A30,LOGISTICS_PL!$N:$N)/SUMIF(LOGISTICS_PL!$C:$C,$A30,LOGISTICS_PL!$E:$E),"")</f>
        <v/>
      </c>
      <c r="I30">
        <f>IF($H30="","",ROUND($H30*FREIGHT_RATE,2))</f>
        <v/>
      </c>
      <c r="L30">
        <f>IF(OR($J30="",$K30=""),"",ROUND($J30/$K30,2))</f>
        <v/>
      </c>
      <c r="N30">
        <f>IF($G30="","",ROUND($G30+IF($I30="",0,$I30)+IF($L30="",0,$L30)+IF($M30="",0,$M30),2))</f>
        <v/>
      </c>
      <c r="O30">
        <f>IFERROR(INDEX('SKU with PRICES'!$J:$J,MATCH($A30,'SKU with PRICES'!$H:$H,0)),"")</f>
        <v/>
      </c>
      <c r="P30">
        <f>IF($H30="",IF($O30&lt;&gt;"","RECORDED — landed cost typed, no carton data to verify it","NONE — no cost at all; cannot be priced or gated"),IF(COUNTIFS(LOGISTICS_PL!$C:$C,$A30,LOGISTICS_PL!$R:$R,"COMPARABLE")&gt;0,"ESTIMATE — freight from a comparable carton, not this product's own","DERIVED — freight measured from cartons"))</f>
        <v/>
      </c>
    </row>
    <row r="31">
      <c r="A31" s="91" t="inlineStr">
        <is>
          <t>UC-SKW-SHF-021</t>
        </is>
      </c>
      <c r="B31" s="91" t="inlineStr">
        <is>
          <t>J'adore</t>
        </is>
      </c>
      <c r="C31" s="99" t="inlineStr">
        <is>
          <t>IN_STOCK</t>
        </is>
      </c>
      <c r="D31" s="91" t="n">
        <v>65</v>
      </c>
      <c r="E31" s="91" t="inlineStr">
        <is>
          <t>2026-03-12</t>
        </is>
      </c>
      <c r="F31" s="91" t="n">
        <v>1</v>
      </c>
      <c r="G31" s="91">
        <f>IFERROR(INDEX('SKU with PRICES'!$I:$I,MATCH($A31,'SKU with PRICES'!$H:$H,0)),"")</f>
        <v/>
      </c>
      <c r="H31">
        <f>IFERROR(SUMIF(LOGISTICS_PL!$C:$C,$A31,LOGISTICS_PL!$N:$N)/SUMIF(LOGISTICS_PL!$C:$C,$A31,LOGISTICS_PL!$E:$E),"")</f>
        <v/>
      </c>
      <c r="I31">
        <f>IF($H31="","",ROUND($H31*FREIGHT_RATE,2))</f>
        <v/>
      </c>
      <c r="L31">
        <f>IF(OR($J31="",$K31=""),"",ROUND($J31/$K31,2))</f>
        <v/>
      </c>
      <c r="N31">
        <f>IF($G31="","",ROUND($G31+IF($I31="",0,$I31)+IF($L31="",0,$L31)+IF($M31="",0,$M31),2))</f>
        <v/>
      </c>
      <c r="O31">
        <f>IFERROR(INDEX('SKU with PRICES'!$J:$J,MATCH($A31,'SKU with PRICES'!$H:$H,0)),"")</f>
        <v/>
      </c>
      <c r="P31">
        <f>IF($H31="",IF($O31&lt;&gt;"","RECORDED — landed cost typed, no carton data to verify it","NONE — no cost at all; cannot be priced or gated"),IF(COUNTIFS(LOGISTICS_PL!$C:$C,$A31,LOGISTICS_PL!$R:$R,"COMPARABLE")&gt;0,"ESTIMATE — freight from a comparable carton, not this product's own","DERIVED — freight measured from cartons"))</f>
        <v/>
      </c>
    </row>
    <row r="32">
      <c r="A32" s="91" t="inlineStr">
        <is>
          <t>UC-SKW-SHF-022</t>
        </is>
      </c>
      <c r="B32" s="91" t="inlineStr">
        <is>
          <t>Pure Drop</t>
        </is>
      </c>
      <c r="C32" s="99" t="inlineStr">
        <is>
          <t>IN_STOCK</t>
        </is>
      </c>
      <c r="D32" s="91" t="n">
        <v>10</v>
      </c>
      <c r="E32" s="91" t="inlineStr">
        <is>
          <t>2026-03-12</t>
        </is>
      </c>
      <c r="F32" s="91" t="n">
        <v>1</v>
      </c>
      <c r="G32" s="91">
        <f>IFERROR(INDEX('SKU with PRICES'!$I:$I,MATCH($A32,'SKU with PRICES'!$H:$H,0)),"")</f>
        <v/>
      </c>
      <c r="H32">
        <f>IFERROR(SUMIF(LOGISTICS_PL!$C:$C,$A32,LOGISTICS_PL!$N:$N)/SUMIF(LOGISTICS_PL!$C:$C,$A32,LOGISTICS_PL!$E:$E),"")</f>
        <v/>
      </c>
      <c r="I32">
        <f>IF($H32="","",ROUND($H32*FREIGHT_RATE,2))</f>
        <v/>
      </c>
      <c r="L32">
        <f>IF(OR($J32="",$K32=""),"",ROUND($J32/$K32,2))</f>
        <v/>
      </c>
      <c r="N32">
        <f>IF($G32="","",ROUND($G32+IF($I32="",0,$I32)+IF($L32="",0,$L32)+IF($M32="",0,$M32),2))</f>
        <v/>
      </c>
      <c r="O32">
        <f>IFERROR(INDEX('SKU with PRICES'!$J:$J,MATCH($A32,'SKU with PRICES'!$H:$H,0)),"")</f>
        <v/>
      </c>
      <c r="P32">
        <f>IF($H32="",IF($O32&lt;&gt;"","RECORDED — landed cost typed, no carton data to verify it","NONE — no cost at all; cannot be priced or gated"),IF(COUNTIFS(LOGISTICS_PL!$C:$C,$A32,LOGISTICS_PL!$R:$R,"COMPARABLE")&gt;0,"ESTIMATE — freight from a comparable carton, not this product's own","DERIVED — freight measured from cartons"))</f>
        <v/>
      </c>
    </row>
    <row r="33">
      <c r="A33" s="91" t="inlineStr">
        <is>
          <t>UC-SKW-SHC-023</t>
        </is>
      </c>
      <c r="B33" s="91" t="inlineStr">
        <is>
          <t>Shower Filter</t>
        </is>
      </c>
      <c r="C33" s="99" t="inlineStr">
        <is>
          <t>IN_STOCK</t>
        </is>
      </c>
      <c r="D33" s="91" t="n">
        <v>94</v>
      </c>
      <c r="E33" s="91" t="inlineStr">
        <is>
          <t>2026-03-12</t>
        </is>
      </c>
      <c r="F33" s="91" t="n">
        <v>1</v>
      </c>
      <c r="G33" s="91">
        <f>IFERROR(INDEX('SKU with PRICES'!$I:$I,MATCH($A33,'SKU with PRICES'!$H:$H,0)),"")</f>
        <v/>
      </c>
      <c r="H33">
        <f>IFERROR(SUMIF(LOGISTICS_PL!$C:$C,$A33,LOGISTICS_PL!$N:$N)/SUMIF(LOGISTICS_PL!$C:$C,$A33,LOGISTICS_PL!$E:$E),"")</f>
        <v/>
      </c>
      <c r="I33">
        <f>IF($H33="","",ROUND($H33*FREIGHT_RATE,2))</f>
        <v/>
      </c>
      <c r="L33">
        <f>IF(OR($J33="",$K33=""),"",ROUND($J33/$K33,2))</f>
        <v/>
      </c>
      <c r="N33">
        <f>IF($G33="","",ROUND($G33+IF($I33="",0,$I33)+IF($L33="",0,$L33)+IF($M33="",0,$M33),2))</f>
        <v/>
      </c>
      <c r="O33">
        <f>IFERROR(INDEX('SKU with PRICES'!$J:$J,MATCH($A33,'SKU with PRICES'!$H:$H,0)),"")</f>
        <v/>
      </c>
      <c r="P33">
        <f>IF($H33="",IF($O33&lt;&gt;"","RECORDED — landed cost typed, no carton data to verify it","NONE — no cost at all; cannot be priced or gated"),IF(COUNTIFS(LOGISTICS_PL!$C:$C,$A33,LOGISTICS_PL!$R:$R,"COMPARABLE")&gt;0,"ESTIMATE — freight from a comparable carton, not this product's own","DERIVED — freight measured from cartons"))</f>
        <v/>
      </c>
    </row>
    <row r="34">
      <c r="A34" s="91" t="inlineStr">
        <is>
          <t>UC-SKW-DFS-024</t>
        </is>
      </c>
      <c r="B34" s="91" t="inlineStr">
        <is>
          <t>Derma Flux</t>
        </is>
      </c>
      <c r="C34" s="99" t="inlineStr">
        <is>
          <t>IN_STOCK</t>
        </is>
      </c>
      <c r="D34" s="91" t="n">
        <v>2</v>
      </c>
      <c r="E34" s="91" t="inlineStr">
        <is>
          <t>2026-03-12</t>
        </is>
      </c>
      <c r="F34" s="91" t="n">
        <v>1</v>
      </c>
      <c r="G34" s="91">
        <f>IFERROR(INDEX('SKU with PRICES'!$I:$I,MATCH($A34,'SKU with PRICES'!$H:$H,0)),"")</f>
        <v/>
      </c>
      <c r="H34">
        <f>IFERROR(SUMIF(LOGISTICS_PL!$C:$C,$A34,LOGISTICS_PL!$N:$N)/SUMIF(LOGISTICS_PL!$C:$C,$A34,LOGISTICS_PL!$E:$E),"")</f>
        <v/>
      </c>
      <c r="I34">
        <f>IF($H34="","",ROUND($H34*FREIGHT_RATE,2))</f>
        <v/>
      </c>
      <c r="L34">
        <f>IF(OR($J34="",$K34=""),"",ROUND($J34/$K34,2))</f>
        <v/>
      </c>
      <c r="N34">
        <f>IF($G34="","",ROUND($G34+IF($I34="",0,$I34)+IF($L34="",0,$L34)+IF($M34="",0,$M34),2))</f>
        <v/>
      </c>
      <c r="O34">
        <f>IFERROR(INDEX('SKU with PRICES'!$J:$J,MATCH($A34,'SKU with PRICES'!$H:$H,0)),"")</f>
        <v/>
      </c>
      <c r="P34">
        <f>IF($H34="",IF($O34&lt;&gt;"","RECORDED — landed cost typed, no carton data to verify it","NONE — no cost at all; cannot be priced or gated"),IF(COUNTIFS(LOGISTICS_PL!$C:$C,$A34,LOGISTICS_PL!$R:$R,"COMPARABLE")&gt;0,"ESTIMATE — freight from a comparable carton, not this product's own","DERIVED — freight measured from cartons"))</f>
        <v/>
      </c>
    </row>
    <row r="35">
      <c r="A35" s="91" t="inlineStr">
        <is>
          <t>UC-SKW-DFS-025</t>
        </is>
      </c>
      <c r="B35" s="91" t="inlineStr">
        <is>
          <t>Derma Flux</t>
        </is>
      </c>
      <c r="C35" s="95" t="inlineStr">
        <is>
          <t>FUTURE</t>
        </is>
      </c>
      <c r="D35" s="91" t="n">
        <v>0</v>
      </c>
      <c r="E35" s="91" t="inlineStr"/>
      <c r="F35" s="91" t="n">
        <v>1</v>
      </c>
      <c r="G35" s="91">
        <f>IFERROR(INDEX('SKU with PRICES'!$I:$I,MATCH($A35,'SKU with PRICES'!$H:$H,0)),"")</f>
        <v/>
      </c>
      <c r="H35">
        <f>IFERROR(SUMIF(LOGISTICS_PL!$C:$C,$A35,LOGISTICS_PL!$N:$N)/SUMIF(LOGISTICS_PL!$C:$C,$A35,LOGISTICS_PL!$E:$E),"")</f>
        <v/>
      </c>
      <c r="I35">
        <f>IF($H35="","",ROUND($H35*FREIGHT_RATE,2))</f>
        <v/>
      </c>
      <c r="L35">
        <f>IF(OR($J35="",$K35=""),"",ROUND($J35/$K35,2))</f>
        <v/>
      </c>
      <c r="N35">
        <f>IF($G35="","",ROUND($G35+IF($I35="",0,$I35)+IF($L35="",0,$L35)+IF($M35="",0,$M35),2))</f>
        <v/>
      </c>
      <c r="O35">
        <f>IFERROR(INDEX('SKU with PRICES'!$J:$J,MATCH($A35,'SKU with PRICES'!$H:$H,0)),"")</f>
        <v/>
      </c>
      <c r="P35">
        <f>IF($H35="",IF($O35&lt;&gt;"","RECORDED — landed cost typed, no carton data to verify it","NONE — no cost at all; cannot be priced or gated"),IF(COUNTIFS(LOGISTICS_PL!$C:$C,$A35,LOGISTICS_PL!$R:$R,"COMPARABLE")&gt;0,"ESTIMATE — freight from a comparable carton, not this product's own","DERIVED — freight measured from cartons"))</f>
        <v/>
      </c>
    </row>
    <row r="36">
      <c r="A36" s="91" t="inlineStr">
        <is>
          <t>UC-SKW-DFS-026</t>
        </is>
      </c>
      <c r="B36" s="91" t="inlineStr">
        <is>
          <t>Derma Flux</t>
        </is>
      </c>
      <c r="C36" s="95" t="inlineStr">
        <is>
          <t>FUTURE</t>
        </is>
      </c>
      <c r="D36" s="91" t="n">
        <v>0</v>
      </c>
      <c r="E36" s="91" t="inlineStr"/>
      <c r="F36" s="91" t="n">
        <v>1</v>
      </c>
      <c r="G36" s="91">
        <f>IFERROR(INDEX('SKU with PRICES'!$I:$I,MATCH($A36,'SKU with PRICES'!$H:$H,0)),"")</f>
        <v/>
      </c>
      <c r="H36">
        <f>IFERROR(SUMIF(LOGISTICS_PL!$C:$C,$A36,LOGISTICS_PL!$N:$N)/SUMIF(LOGISTICS_PL!$C:$C,$A36,LOGISTICS_PL!$E:$E),"")</f>
        <v/>
      </c>
      <c r="I36">
        <f>IF($H36="","",ROUND($H36*FREIGHT_RATE,2))</f>
        <v/>
      </c>
      <c r="L36">
        <f>IF(OR($J36="",$K36=""),"",ROUND($J36/$K36,2))</f>
        <v/>
      </c>
      <c r="N36">
        <f>IF($G36="","",ROUND($G36+IF($I36="",0,$I36)+IF($L36="",0,$L36)+IF($M36="",0,$M36),2))</f>
        <v/>
      </c>
      <c r="O36">
        <f>IFERROR(INDEX('SKU with PRICES'!$J:$J,MATCH($A36,'SKU with PRICES'!$H:$H,0)),"")</f>
        <v/>
      </c>
      <c r="P36">
        <f>IF($H36="",IF($O36&lt;&gt;"","RECORDED — landed cost typed, no carton data to verify it","NONE — no cost at all; cannot be priced or gated"),IF(COUNTIFS(LOGISTICS_PL!$C:$C,$A36,LOGISTICS_PL!$R:$R,"COMPARABLE")&gt;0,"ESTIMATE — freight from a comparable carton, not this product's own","DERIVED — freight measured from cartons"))</f>
        <v/>
      </c>
    </row>
    <row r="37">
      <c r="A37" s="91" t="inlineStr">
        <is>
          <t>UC-SKW-DFO-027</t>
        </is>
      </c>
      <c r="B37" s="91" t="inlineStr">
        <is>
          <t>Derma Flux  Fiiter</t>
        </is>
      </c>
      <c r="C37" s="99" t="inlineStr">
        <is>
          <t>IN_STOCK</t>
        </is>
      </c>
      <c r="D37" s="91" t="n">
        <v>2</v>
      </c>
      <c r="E37" s="91" t="inlineStr">
        <is>
          <t>2026-03-12</t>
        </is>
      </c>
      <c r="F37" s="91" t="n">
        <v>1</v>
      </c>
      <c r="G37" s="91">
        <f>IFERROR(INDEX('SKU with PRICES'!$I:$I,MATCH($A37,'SKU with PRICES'!$H:$H,0)),"")</f>
        <v/>
      </c>
      <c r="H37">
        <f>IFERROR(SUMIF(LOGISTICS_PL!$C:$C,$A37,LOGISTICS_PL!$N:$N)/SUMIF(LOGISTICS_PL!$C:$C,$A37,LOGISTICS_PL!$E:$E),"")</f>
        <v/>
      </c>
      <c r="I37">
        <f>IF($H37="","",ROUND($H37*FREIGHT_RATE,2))</f>
        <v/>
      </c>
      <c r="L37">
        <f>IF(OR($J37="",$K37=""),"",ROUND($J37/$K37,2))</f>
        <v/>
      </c>
      <c r="N37">
        <f>IF($G37="","",ROUND($G37+IF($I37="",0,$I37)+IF($L37="",0,$L37)+IF($M37="",0,$M37),2))</f>
        <v/>
      </c>
      <c r="O37">
        <f>IFERROR(INDEX('SKU with PRICES'!$J:$J,MATCH($A37,'SKU with PRICES'!$H:$H,0)),"")</f>
        <v/>
      </c>
      <c r="P37">
        <f>IF($H37="",IF($O37&lt;&gt;"","RECORDED — landed cost typed, no carton data to verify it","NONE — no cost at all; cannot be priced or gated"),IF(COUNTIFS(LOGISTICS_PL!$C:$C,$A37,LOGISTICS_PL!$R:$R,"COMPARABLE")&gt;0,"ESTIMATE — freight from a comparable carton, not this product's own","DERIVED — freight measured from cartons"))</f>
        <v/>
      </c>
    </row>
    <row r="38">
      <c r="A38" s="91" t="inlineStr">
        <is>
          <t>UC-HOU-ROP-PP</t>
        </is>
      </c>
      <c r="B38" s="91" t="inlineStr">
        <is>
          <t>RO Replacement</t>
        </is>
      </c>
      <c r="C38" s="95" t="inlineStr">
        <is>
          <t>FUTURE</t>
        </is>
      </c>
      <c r="D38" s="91" t="n">
        <v>0</v>
      </c>
      <c r="E38" s="91" t="inlineStr"/>
      <c r="F38" s="91" t="n">
        <v>1</v>
      </c>
      <c r="G38" s="91">
        <f>IFERROR(INDEX('SKU with PRICES'!$I:$I,MATCH($A38,'SKU with PRICES'!$H:$H,0)),"")</f>
        <v/>
      </c>
      <c r="H38">
        <f>IFERROR(SUMIF(LOGISTICS_PL!$C:$C,$A38,LOGISTICS_PL!$N:$N)/SUMIF(LOGISTICS_PL!$C:$C,$A38,LOGISTICS_PL!$E:$E),"")</f>
        <v/>
      </c>
      <c r="I38">
        <f>IF($H38="","",ROUND($H38*FREIGHT_RATE,2))</f>
        <v/>
      </c>
      <c r="L38">
        <f>IF(OR($J38="",$K38=""),"",ROUND($J38/$K38,2))</f>
        <v/>
      </c>
      <c r="N38">
        <f>IF($G38="","",ROUND($G38+IF($I38="",0,$I38)+IF($L38="",0,$L38)+IF($M38="",0,$M38),2))</f>
        <v/>
      </c>
      <c r="O38">
        <f>IFERROR(INDEX('SKU with PRICES'!$J:$J,MATCH($A38,'SKU with PRICES'!$H:$H,0)),"")</f>
        <v/>
      </c>
      <c r="P38">
        <f>IF($H38="",IF($O38&lt;&gt;"","RECORDED — landed cost typed, no carton data to verify it","NONE — no cost at all; cannot be priced or gated"),IF(COUNTIFS(LOGISTICS_PL!$C:$C,$A38,LOGISTICS_PL!$R:$R,"COMPARABLE")&gt;0,"ESTIMATE — freight from a comparable carton, not this product's own","DERIVED — freight measured from cartons"))</f>
        <v/>
      </c>
    </row>
    <row r="39">
      <c r="A39" s="91" t="inlineStr">
        <is>
          <t>UC-HOU-ROP-UDF</t>
        </is>
      </c>
      <c r="B39" s="91" t="inlineStr">
        <is>
          <t>RO Replacement</t>
        </is>
      </c>
      <c r="C39" s="95" t="inlineStr">
        <is>
          <t>FUTURE</t>
        </is>
      </c>
      <c r="D39" s="91" t="n">
        <v>0</v>
      </c>
      <c r="E39" s="91" t="inlineStr"/>
      <c r="F39" s="91" t="n">
        <v>1</v>
      </c>
      <c r="G39" s="91">
        <f>IFERROR(INDEX('SKU with PRICES'!$I:$I,MATCH($A39,'SKU with PRICES'!$H:$H,0)),"")</f>
        <v/>
      </c>
      <c r="H39">
        <f>IFERROR(SUMIF(LOGISTICS_PL!$C:$C,$A39,LOGISTICS_PL!$N:$N)/SUMIF(LOGISTICS_PL!$C:$C,$A39,LOGISTICS_PL!$E:$E),"")</f>
        <v/>
      </c>
      <c r="I39">
        <f>IF($H39="","",ROUND($H39*FREIGHT_RATE,2))</f>
        <v/>
      </c>
      <c r="L39">
        <f>IF(OR($J39="",$K39=""),"",ROUND($J39/$K39,2))</f>
        <v/>
      </c>
      <c r="N39">
        <f>IF($G39="","",ROUND($G39+IF($I39="",0,$I39)+IF($L39="",0,$L39)+IF($M39="",0,$M39),2))</f>
        <v/>
      </c>
      <c r="O39">
        <f>IFERROR(INDEX('SKU with PRICES'!$J:$J,MATCH($A39,'SKU with PRICES'!$H:$H,0)),"")</f>
        <v/>
      </c>
      <c r="P39">
        <f>IF($H39="",IF($O39&lt;&gt;"","RECORDED — landed cost typed, no carton data to verify it","NONE — no cost at all; cannot be priced or gated"),IF(COUNTIFS(LOGISTICS_PL!$C:$C,$A39,LOGISTICS_PL!$R:$R,"COMPARABLE")&gt;0,"ESTIMATE — freight from a comparable carton, not this product's own","DERIVED — freight measured from cartons"))</f>
        <v/>
      </c>
    </row>
    <row r="40">
      <c r="A40" s="91" t="inlineStr">
        <is>
          <t>UC-HOU-ROP-CTO</t>
        </is>
      </c>
      <c r="B40" s="91" t="inlineStr">
        <is>
          <t>RO Replacement</t>
        </is>
      </c>
      <c r="C40" s="95" t="inlineStr">
        <is>
          <t>FUTURE</t>
        </is>
      </c>
      <c r="D40" s="91" t="n">
        <v>0</v>
      </c>
      <c r="E40" s="91" t="inlineStr"/>
      <c r="F40" s="91" t="n">
        <v>1</v>
      </c>
      <c r="G40" s="91">
        <f>IFERROR(INDEX('SKU with PRICES'!$I:$I,MATCH($A40,'SKU with PRICES'!$H:$H,0)),"")</f>
        <v/>
      </c>
      <c r="H40">
        <f>IFERROR(SUMIF(LOGISTICS_PL!$C:$C,$A40,LOGISTICS_PL!$N:$N)/SUMIF(LOGISTICS_PL!$C:$C,$A40,LOGISTICS_PL!$E:$E),"")</f>
        <v/>
      </c>
      <c r="I40">
        <f>IF($H40="","",ROUND($H40*FREIGHT_RATE,2))</f>
        <v/>
      </c>
      <c r="L40">
        <f>IF(OR($J40="",$K40=""),"",ROUND($J40/$K40,2))</f>
        <v/>
      </c>
      <c r="N40">
        <f>IF($G40="","",ROUND($G40+IF($I40="",0,$I40)+IF($L40="",0,$L40)+IF($M40="",0,$M40),2))</f>
        <v/>
      </c>
      <c r="O40">
        <f>IFERROR(INDEX('SKU with PRICES'!$J:$J,MATCH($A40,'SKU with PRICES'!$H:$H,0)),"")</f>
        <v/>
      </c>
      <c r="P40">
        <f>IF($H40="",IF($O40&lt;&gt;"","RECORDED — landed cost typed, no carton data to verify it","NONE — no cost at all; cannot be priced or gated"),IF(COUNTIFS(LOGISTICS_PL!$C:$C,$A40,LOGISTICS_PL!$R:$R,"COMPARABLE")&gt;0,"ESTIMATE — freight from a comparable carton, not this product's own","DERIVED — freight measured from cartons"))</f>
        <v/>
      </c>
    </row>
    <row r="41">
      <c r="A41" s="91" t="inlineStr">
        <is>
          <t>UC-HOU-ROM-100g</t>
        </is>
      </c>
      <c r="B41" s="91" t="inlineStr">
        <is>
          <t>RO Replacement</t>
        </is>
      </c>
      <c r="C41" s="95" t="inlineStr">
        <is>
          <t>FUTURE</t>
        </is>
      </c>
      <c r="D41" s="91" t="n">
        <v>0</v>
      </c>
      <c r="E41" s="91" t="inlineStr"/>
      <c r="F41" s="91" t="n">
        <v>1</v>
      </c>
      <c r="G41" s="91">
        <f>IFERROR(INDEX('SKU with PRICES'!$I:$I,MATCH($A41,'SKU with PRICES'!$H:$H,0)),"")</f>
        <v/>
      </c>
      <c r="H41">
        <f>IFERROR(SUMIF(LOGISTICS_PL!$C:$C,$A41,LOGISTICS_PL!$N:$N)/SUMIF(LOGISTICS_PL!$C:$C,$A41,LOGISTICS_PL!$E:$E),"")</f>
        <v/>
      </c>
      <c r="I41">
        <f>IF($H41="","",ROUND($H41*FREIGHT_RATE,2))</f>
        <v/>
      </c>
      <c r="L41">
        <f>IF(OR($J41="",$K41=""),"",ROUND($J41/$K41,2))</f>
        <v/>
      </c>
      <c r="N41">
        <f>IF($G41="","",ROUND($G41+IF($I41="",0,$I41)+IF($L41="",0,$L41)+IF($M41="",0,$M41),2))</f>
        <v/>
      </c>
      <c r="O41">
        <f>IFERROR(INDEX('SKU with PRICES'!$J:$J,MATCH($A41,'SKU with PRICES'!$H:$H,0)),"")</f>
        <v/>
      </c>
      <c r="P41">
        <f>IF($H41="",IF($O41&lt;&gt;"","RECORDED — landed cost typed, no carton data to verify it","NONE — no cost at all; cannot be priced or gated"),IF(COUNTIFS(LOGISTICS_PL!$C:$C,$A41,LOGISTICS_PL!$R:$R,"COMPARABLE")&gt;0,"ESTIMATE — freight from a comparable carton, not this product's own","DERIVED — freight measured from cartons"))</f>
        <v/>
      </c>
    </row>
    <row r="42">
      <c r="A42" s="91" t="inlineStr">
        <is>
          <t>UC-HOU-RO-YMT33</t>
        </is>
      </c>
      <c r="B42" s="91" t="inlineStr">
        <is>
          <t>RO Replacement</t>
        </is>
      </c>
      <c r="C42" s="95" t="inlineStr">
        <is>
          <t>FUTURE</t>
        </is>
      </c>
      <c r="D42" s="91" t="n">
        <v>0</v>
      </c>
      <c r="E42" s="91" t="inlineStr"/>
      <c r="F42" s="91" t="n">
        <v>1</v>
      </c>
      <c r="G42" s="91">
        <f>IFERROR(INDEX('SKU with PRICES'!$I:$I,MATCH($A42,'SKU with PRICES'!$H:$H,0)),"")</f>
        <v/>
      </c>
      <c r="H42">
        <f>IFERROR(SUMIF(LOGISTICS_PL!$C:$C,$A42,LOGISTICS_PL!$N:$N)/SUMIF(LOGISTICS_PL!$C:$C,$A42,LOGISTICS_PL!$E:$E),"")</f>
        <v/>
      </c>
      <c r="I42">
        <f>IF($H42="","",ROUND($H42*FREIGHT_RATE,2))</f>
        <v/>
      </c>
      <c r="L42">
        <f>IF(OR($J42="",$K42=""),"",ROUND($J42/$K42,2))</f>
        <v/>
      </c>
      <c r="N42">
        <f>IF($G42="","",ROUND($G42+IF($I42="",0,$I42)+IF($L42="",0,$L42)+IF($M42="",0,$M42),2))</f>
        <v/>
      </c>
      <c r="O42">
        <f>IFERROR(INDEX('SKU with PRICES'!$J:$J,MATCH($A42,'SKU with PRICES'!$H:$H,0)),"")</f>
        <v/>
      </c>
      <c r="P42">
        <f>IF($H42="",IF($O42&lt;&gt;"","RECORDED — landed cost typed, no carton data to verify it","NONE — no cost at all; cannot be priced or gated"),IF(COUNTIFS(LOGISTICS_PL!$C:$C,$A42,LOGISTICS_PL!$R:$R,"COMPARABLE")&gt;0,"ESTIMATE — freight from a comparable carton, not this product's own","DERIVED — freight measured from cartons"))</f>
        <v/>
      </c>
    </row>
    <row r="43">
      <c r="A43" s="91" t="inlineStr">
        <is>
          <t>UC-HOU-RO-CBT33</t>
        </is>
      </c>
      <c r="B43" s="91" t="inlineStr">
        <is>
          <t>RO Replacement</t>
        </is>
      </c>
      <c r="C43" s="95" t="inlineStr">
        <is>
          <t>FUTURE</t>
        </is>
      </c>
      <c r="D43" s="91" t="n">
        <v>0</v>
      </c>
      <c r="E43" s="91" t="inlineStr"/>
      <c r="F43" s="91" t="n">
        <v>1</v>
      </c>
      <c r="G43" s="91">
        <f>IFERROR(INDEX('SKU with PRICES'!$I:$I,MATCH($A43,'SKU with PRICES'!$H:$H,0)),"")</f>
        <v/>
      </c>
      <c r="H43">
        <f>IFERROR(SUMIF(LOGISTICS_PL!$C:$C,$A43,LOGISTICS_PL!$N:$N)/SUMIF(LOGISTICS_PL!$C:$C,$A43,LOGISTICS_PL!$E:$E),"")</f>
        <v/>
      </c>
      <c r="I43">
        <f>IF($H43="","",ROUND($H43*FREIGHT_RATE,2))</f>
        <v/>
      </c>
      <c r="L43">
        <f>IF(OR($J43="",$K43=""),"",ROUND($J43/$K43,2))</f>
        <v/>
      </c>
      <c r="N43">
        <f>IF($G43="","",ROUND($G43+IF($I43="",0,$I43)+IF($L43="",0,$L43)+IF($M43="",0,$M43),2))</f>
        <v/>
      </c>
      <c r="O43">
        <f>IFERROR(INDEX('SKU with PRICES'!$J:$J,MATCH($A43,'SKU with PRICES'!$H:$H,0)),"")</f>
        <v/>
      </c>
      <c r="P43">
        <f>IF($H43="",IF($O43&lt;&gt;"","RECORDED — landed cost typed, no carton data to verify it","NONE — no cost at all; cannot be priced or gated"),IF(COUNTIFS(LOGISTICS_PL!$C:$C,$A43,LOGISTICS_PL!$R:$R,"COMPARABLE")&gt;0,"ESTIMATE — freight from a comparable carton, not this product's own","DERIVED — freight measured from cartons"))</f>
        <v/>
      </c>
    </row>
    <row r="44">
      <c r="A44" s="91" t="inlineStr">
        <is>
          <t>UC-BOG-ECO-ECF1</t>
        </is>
      </c>
      <c r="B44" s="91" t="inlineStr">
        <is>
          <t>Ecosmart Filter</t>
        </is>
      </c>
      <c r="C44" s="95" t="inlineStr">
        <is>
          <t>FUTURE</t>
        </is>
      </c>
      <c r="D44" s="91" t="n">
        <v>0</v>
      </c>
      <c r="E44" s="91" t="inlineStr"/>
      <c r="F44" s="91" t="n">
        <v>1</v>
      </c>
      <c r="G44" s="91">
        <f>IFERROR(INDEX('SKU with PRICES'!$I:$I,MATCH($A44,'SKU with PRICES'!$H:$H,0)),"")</f>
        <v/>
      </c>
      <c r="H44">
        <f>IFERROR(SUMIF(LOGISTICS_PL!$C:$C,$A44,LOGISTICS_PL!$N:$N)/SUMIF(LOGISTICS_PL!$C:$C,$A44,LOGISTICS_PL!$E:$E),"")</f>
        <v/>
      </c>
      <c r="I44">
        <f>IF($H44="","",ROUND($H44*FREIGHT_RATE,2))</f>
        <v/>
      </c>
      <c r="L44">
        <f>IF(OR($J44="",$K44=""),"",ROUND($J44/$K44,2))</f>
        <v/>
      </c>
      <c r="N44">
        <f>IF($G44="","",ROUND($G44+IF($I44="",0,$I44)+IF($L44="",0,$L44)+IF($M44="",0,$M44),2))</f>
        <v/>
      </c>
      <c r="O44">
        <f>IFERROR(INDEX('SKU with PRICES'!$J:$J,MATCH($A44,'SKU with PRICES'!$H:$H,0)),"")</f>
        <v/>
      </c>
      <c r="P44">
        <f>IF($H44="",IF($O44&lt;&gt;"","RECORDED — landed cost typed, no carton data to verify it","NONE — no cost at all; cannot be priced or gated"),IF(COUNTIFS(LOGISTICS_PL!$C:$C,$A44,LOGISTICS_PL!$R:$R,"COMPARABLE")&gt;0,"ESTIMATE — freight from a comparable carton, not this product's own","DERIVED — freight measured from cartons"))</f>
        <v/>
      </c>
    </row>
    <row r="45">
      <c r="A45" t="inlineStr">
        <is>
          <t>UC-HOU-ROT-029</t>
        </is>
      </c>
      <c r="B45" t="inlineStr">
        <is>
          <t>RO Mini Tank</t>
        </is>
      </c>
      <c r="C45" s="92" t="inlineStr">
        <is>
          <t>FUTURE</t>
        </is>
      </c>
      <c r="D45" t="n">
        <v>0</v>
      </c>
      <c r="F45" t="n">
        <v>1</v>
      </c>
      <c r="G45">
        <f>IFERROR(INDEX('SKU with PRICES'!$I:$I,MATCH($A45,'SKU with PRICES'!$H:$H,0)),"")</f>
        <v/>
      </c>
      <c r="H45">
        <f>IFERROR(SUMIF(LOGISTICS_PL!$C:$C,$A45,LOGISTICS_PL!$N:$N)/SUMIF(LOGISTICS_PL!$C:$C,$A45,LOGISTICS_PL!$E:$E),"")</f>
        <v/>
      </c>
      <c r="I45">
        <f>IF($H45="","",ROUND($H45*FREIGHT_RATE,2))</f>
        <v/>
      </c>
      <c r="L45">
        <f>IF(OR($J45="",$K45=""),"",ROUND($J45/$K45,2))</f>
        <v/>
      </c>
      <c r="N45">
        <f>IF($G45="","",ROUND($G45+IF($I45="",0,$I45)+IF($L45="",0,$L45)+IF($M45="",0,$M45),2))</f>
        <v/>
      </c>
      <c r="O45">
        <f>IFERROR(INDEX('SKU with PRICES'!$J:$J,MATCH($A45,'SKU with PRICES'!$H:$H,0)),"")</f>
        <v/>
      </c>
      <c r="P45">
        <f>IF($H45="",IF($O45&lt;&gt;"","RECORDED — landed cost typed, no carton data to verify it","NONE — no cost at all; cannot be priced or gated"),IF(COUNTIFS(LOGISTICS_PL!$C:$C,$A45,LOGISTICS_PL!$R:$R,"COMPARABLE")&gt;0,"ESTIMATE — freight from a comparable carton, not this product's own","DERIVED — freight measured from cartons"))</f>
        <v/>
      </c>
    </row>
    <row r="47">
      <c r="B47" s="88" t="inlineStr">
        <is>
          <t>TOTAL</t>
        </is>
      </c>
      <c r="D47" s="88">
        <f>SUM(D6:D44)</f>
        <v/>
      </c>
      <c r="G47" s="88">
        <f>SUM(G6:G44)</f>
        <v/>
      </c>
      <c r="N47" s="88">
        <f>SUM(N6:N44)</f>
        <v/>
      </c>
    </row>
  </sheetData>
  <dataValidations count="1">
    <dataValidation sqref="C6:C94" showDropDown="0" showInputMessage="0" showErrorMessage="0" allowBlank="1" type="list">
      <formula1>"IN_STOCK,INCOMING,FUTURE,DISCONTINUED"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1"/>
  <sheetViews>
    <sheetView workbookViewId="0">
      <pane ySplit="8" topLeftCell="A9" activePane="bottomLeft" state="frozen"/>
      <selection pane="bottomLeft" activeCell="A1" sqref="A1"/>
    </sheetView>
  </sheetViews>
  <sheetFormatPr baseColWidth="8" defaultRowHeight="15"/>
  <cols>
    <col width="15" customWidth="1" min="1" max="1"/>
    <col width="26" customWidth="1" min="2" max="2"/>
    <col width="13" customWidth="1" min="3" max="3"/>
    <col width="13" customWidth="1" min="4" max="4"/>
    <col width="13" customWidth="1" min="5" max="5"/>
    <col width="13" customWidth="1" min="6" max="6"/>
    <col width="15" customWidth="1" min="7" max="7"/>
    <col width="13" customWidth="1" min="8" max="8"/>
    <col width="13" customWidth="1" min="9" max="9"/>
    <col width="13" customWidth="1" min="10" max="10"/>
    <col width="50" customWidth="1" min="11" max="11"/>
  </cols>
  <sheetData>
    <row r="1">
      <c r="A1" s="89" t="inlineStr">
        <is>
          <t>INBOUND SHIPMENT — every future-stock arrival gets a row here before it gets stock.</t>
        </is>
      </c>
    </row>
    <row r="3">
      <c r="A3" s="90" t="inlineStr">
        <is>
          <t>SHIPMENT_ID</t>
        </is>
      </c>
      <c r="B3" s="90" t="inlineStr">
        <is>
          <t>SUPPLIER</t>
        </is>
      </c>
      <c r="C3" s="90" t="inlineStr">
        <is>
          <t>INCOTERM</t>
        </is>
      </c>
      <c r="D3" s="90" t="inlineStr">
        <is>
          <t>MODE</t>
        </is>
      </c>
      <c r="E3" s="90" t="inlineStr">
        <is>
          <t>RATE USD/CBM</t>
        </is>
      </c>
      <c r="F3" s="90" t="inlineStr">
        <is>
          <t>TOTAL_CBM</t>
        </is>
      </c>
      <c r="G3" s="90" t="inlineStr">
        <is>
          <t>FREIGHT_USD</t>
        </is>
      </c>
      <c r="H3" s="90" t="inlineStr">
        <is>
          <t>ETD</t>
        </is>
      </c>
      <c r="I3" s="90" t="inlineStr">
        <is>
          <t>ETA</t>
        </is>
      </c>
      <c r="J3" s="90" t="inlineStr">
        <is>
          <t>STATUS</t>
        </is>
      </c>
      <c r="K3" s="90" t="inlineStr">
        <is>
          <t>EVIDENCE / NOTE</t>
        </is>
      </c>
    </row>
    <row r="4">
      <c r="A4" s="91" t="inlineStr">
        <is>
          <t>SHP-BG-2024-01</t>
        </is>
      </c>
      <c r="B4" s="91" t="inlineStr">
        <is>
          <t>Guangzhou Begreat Smart Life Co., Ltd.</t>
        </is>
      </c>
      <c r="C4" s="91" t="inlineStr">
        <is>
          <t>DDP</t>
        </is>
      </c>
      <c r="D4" s="91" t="inlineStr">
        <is>
          <t>LCL</t>
        </is>
      </c>
      <c r="E4" s="91" t="n">
        <v>400</v>
      </c>
      <c r="F4" s="91" t="n">
        <v>3.0404</v>
      </c>
      <c r="G4" s="91" t="n">
        <v>1216</v>
      </c>
      <c r="H4" s="91" t="inlineStr">
        <is>
          <t>2024-08</t>
        </is>
      </c>
      <c r="I4" s="91" t="inlineStr">
        <is>
          <t>2024-12</t>
        </is>
      </c>
      <c r="J4" s="91" t="inlineStr">
        <is>
          <t>LANDED</t>
        </is>
      </c>
      <c r="K4" s="91" t="inlineStr">
        <is>
          <t>PI BGE422408081911, 08 Aug 2024. Freight 1,216 / 3.0404 CBM = 399.95/CBM — matches the 400 rate exactly.</t>
        </is>
      </c>
    </row>
    <row r="5">
      <c r="A5" s="91" t="inlineStr">
        <is>
          <t>SHP-NEXT</t>
        </is>
      </c>
      <c r="B5" s="91" t="inlineStr">
        <is>
          <t>(to be confirmed)</t>
        </is>
      </c>
      <c r="C5" s="91" t="inlineStr">
        <is>
          <t>TBC</t>
        </is>
      </c>
      <c r="D5" s="91" t="inlineStr">
        <is>
          <t>LCL</t>
        </is>
      </c>
      <c r="E5" s="91" t="n">
        <v>500</v>
      </c>
      <c r="F5" s="91" t="inlineStr"/>
      <c r="G5" s="91">
        <f>IF(F4="","",ROUND(F4*E4,2))</f>
        <v/>
      </c>
      <c r="H5" s="91" t="inlineStr"/>
      <c r="I5" s="91" t="inlineStr"/>
      <c r="J5" s="91" t="inlineStr">
        <is>
          <t>PLANNED</t>
        </is>
      </c>
      <c r="K5" s="91" t="inlineStr">
        <is>
          <t>Shipping Estimate, Sep 2026. Same 3.0404 CBM at 500/CBM would be 1,520.20 — a 25% freight increase on identical cargo.</t>
        </is>
      </c>
    </row>
    <row r="7">
      <c r="B7" s="88" t="inlineStr">
        <is>
          <t>Items quoted outside the packing list (no carton data):</t>
        </is>
      </c>
    </row>
    <row r="8">
      <c r="A8" s="90" t="inlineStr">
        <is>
          <t>MFR_MODEL</t>
        </is>
      </c>
      <c r="B8" s="90" t="inlineStr">
        <is>
          <t>PARENT_SKU</t>
        </is>
      </c>
      <c r="C8" s="90" t="inlineStr">
        <is>
          <t>QTY</t>
        </is>
      </c>
      <c r="D8" s="90" t="inlineStr">
        <is>
          <t>EXW_USD</t>
        </is>
      </c>
      <c r="E8" s="90" t="inlineStr">
        <is>
          <t>ONE_TIME_FEE</t>
        </is>
      </c>
      <c r="F8" s="90" t="inlineStr">
        <is>
          <t>ONE_TIME/UNIT</t>
        </is>
      </c>
      <c r="G8" s="90" t="inlineStr">
        <is>
          <t>FREIGHT/UNIT</t>
        </is>
      </c>
      <c r="H8" s="90" t="inlineStr">
        <is>
          <t>LANDED/UNIT</t>
        </is>
      </c>
      <c r="I8" s="90" t="inlineStr">
        <is>
          <t>TOTAL</t>
        </is>
      </c>
      <c r="J8" s="90" t="inlineStr">
        <is>
          <t>BASIS</t>
        </is>
      </c>
      <c r="K8" s="90" t="inlineStr">
        <is>
          <t>NOTE</t>
        </is>
      </c>
    </row>
    <row r="9">
      <c r="A9" s="91" t="inlineStr">
        <is>
          <t>ER800-4 Auto flush</t>
        </is>
      </c>
      <c r="B9" s="91" t="inlineStr">
        <is>
          <t>UC-HOU-PHRO-001</t>
        </is>
      </c>
      <c r="C9" s="91" t="n">
        <v>30</v>
      </c>
      <c r="D9" s="91" t="n">
        <v>108</v>
      </c>
      <c r="E9" s="91" t="n">
        <v>440</v>
      </c>
      <c r="F9" s="91" t="n">
        <v>14.67</v>
      </c>
      <c r="G9" s="91" t="n">
        <v>32</v>
      </c>
      <c r="H9" s="91" t="n">
        <v>154.67</v>
      </c>
      <c r="I9" s="91" t="n">
        <v>4640</v>
      </c>
      <c r="J9" s="91" t="inlineStr">
        <is>
          <t>RECORDED</t>
        </is>
      </c>
      <c r="K9" s="91" t="inlineStr">
        <is>
          <t>Freight/unit of 32.00 is implied by the recorded landed cost of 140, not measured. A comparable RO carton (41x25x81, 25/ctn) gives 41.51 at 500/CBM — 30% higher.</t>
        </is>
      </c>
    </row>
    <row r="10">
      <c r="A10" s="91" t="inlineStr">
        <is>
          <t>ET-2S Electric Pitcher</t>
        </is>
      </c>
      <c r="B10" s="91" t="inlineStr">
        <is>
          <t>UC-HOU-WPF-003</t>
        </is>
      </c>
      <c r="C10" s="91" t="n">
        <v>100</v>
      </c>
      <c r="D10" s="91" t="n">
        <v>44</v>
      </c>
      <c r="E10" s="91" t="n">
        <v>200</v>
      </c>
      <c r="F10" s="91" t="n">
        <v>2</v>
      </c>
      <c r="G10" s="91" t="n">
        <v>11</v>
      </c>
      <c r="H10" s="91" t="n">
        <v>57</v>
      </c>
      <c r="I10" s="91" t="n">
        <v>5700</v>
      </c>
      <c r="J10" s="91" t="inlineStr">
        <is>
          <t>RECORDED</t>
        </is>
      </c>
      <c r="K10" s="91" t="inlineStr">
        <is>
          <t>Implied 11.00/unit = 0.022 CBM at 500/CBM. Plausible for a pitcher carton, but still implied, not measured.</t>
        </is>
      </c>
    </row>
    <row r="11">
      <c r="A11" s="91" t="inlineStr">
        <is>
          <t>MT-0.5 Mini Water Tank</t>
        </is>
      </c>
      <c r="B11" s="91" t="inlineStr">
        <is>
          <t>(no SKU issued)</t>
        </is>
      </c>
      <c r="C11" s="91" t="n">
        <v>30</v>
      </c>
      <c r="D11" s="91" t="n">
        <v>9</v>
      </c>
      <c r="E11" s="91" t="n">
        <v>0</v>
      </c>
      <c r="F11" s="91" t="n">
        <v>0</v>
      </c>
      <c r="G11" s="91" t="inlineStr"/>
      <c r="H11" s="91" t="inlineStr"/>
      <c r="I11" s="91" t="inlineStr"/>
      <c r="J11" s="95" t="inlineStr">
        <is>
          <t>NONE</t>
        </is>
      </c>
      <c r="K11" s="91" t="inlineStr">
        <is>
          <t>No carton data, no landed cost, and no SKU. Cannot be costed, cannot be counted, cannot be sold. Needs a SKU from the master before anything else.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49"/>
  <sheetViews>
    <sheetView tabSelected="1" zoomScale="64" zoomScaleNormal="107" workbookViewId="0">
      <selection activeCell="P6" sqref="P6"/>
    </sheetView>
  </sheetViews>
  <sheetFormatPr baseColWidth="8" defaultRowHeight="14.4"/>
  <cols>
    <col width="20.44140625" customWidth="1" style="42" min="1" max="1"/>
    <col width="17.88671875" customWidth="1" style="42" min="2" max="2"/>
    <col width="38.6640625" customWidth="1" style="2" min="3" max="3"/>
    <col width="52.21875" customWidth="1" style="77" min="4" max="4"/>
    <col width="28.6640625" customWidth="1" style="42" min="5" max="5"/>
    <col width="35.5546875" customWidth="1" style="42" min="6" max="6"/>
    <col width="32.44140625" customWidth="1" style="67" min="7" max="7"/>
    <col width="23.21875" customWidth="1" style="42" min="8" max="9"/>
    <col width="13.6640625" customWidth="1" style="42" min="10" max="10"/>
    <col width="13.21875" customWidth="1" style="42" min="11" max="11"/>
    <col width="17.21875" customWidth="1" style="42" min="12" max="12"/>
    <col width="20.109375" customWidth="1" style="42" min="13" max="13"/>
    <col width="14.88671875" bestFit="1" customWidth="1" style="42" min="14" max="14"/>
    <col width="18.6640625" bestFit="1" customWidth="1" style="42" min="15" max="15"/>
    <col width="19.21875" bestFit="1" customWidth="1" style="42" min="16" max="16"/>
    <col width="18.109375" bestFit="1" customWidth="1" style="42" min="17" max="17"/>
    <col width="16.109375" customWidth="1" style="42" min="18" max="18"/>
    <col width="15.5546875" customWidth="1" style="42" min="19" max="19"/>
    <col width="16.21875" customWidth="1" style="42" min="20" max="20"/>
    <col width="8.88671875" customWidth="1" style="65" min="21" max="21"/>
    <col width="15.44140625" bestFit="1" customWidth="1" style="65" min="22" max="22"/>
    <col width="13.88671875" customWidth="1" style="42" min="23" max="23"/>
    <col width="47.33203125" customWidth="1" style="42" min="24" max="24"/>
    <col width="23.21875" customWidth="1" style="42" min="25" max="25"/>
    <col width="14.5546875" customWidth="1" style="42" min="26" max="26"/>
    <col width="8.88671875" customWidth="1" style="42" min="27" max="29"/>
    <col width="41.21875" bestFit="1" customWidth="1" style="42" min="30" max="30"/>
    <col width="8.88671875" customWidth="1" style="42" min="31" max="16384"/>
  </cols>
  <sheetData>
    <row r="1">
      <c r="A1" s="39" t="inlineStr">
        <is>
          <t>Category</t>
        </is>
      </c>
      <c r="B1" s="39" t="inlineStr">
        <is>
          <t>Pricing Category</t>
        </is>
      </c>
      <c r="C1" s="68" t="inlineStr">
        <is>
          <t>Manufactuere Model  SKU</t>
        </is>
      </c>
      <c r="D1" s="74" t="inlineStr">
        <is>
          <t>Descriptions</t>
        </is>
      </c>
      <c r="E1" s="39" t="inlineStr">
        <is>
          <t>License Certification</t>
        </is>
      </c>
      <c r="F1" s="39" t="inlineStr">
        <is>
          <t>Product</t>
        </is>
      </c>
      <c r="G1" s="66" t="inlineStr">
        <is>
          <t>Model Name</t>
        </is>
      </c>
      <c r="H1" s="39" t="inlineStr">
        <is>
          <t>SKU</t>
        </is>
      </c>
      <c r="I1" s="39" t="inlineStr">
        <is>
          <t>producution Cost</t>
        </is>
      </c>
      <c r="J1" s="39" t="inlineStr">
        <is>
          <t>Landing Cost</t>
        </is>
      </c>
      <c r="K1" s="39" t="inlineStr">
        <is>
          <t>Cost_KES</t>
        </is>
      </c>
      <c r="L1" s="39" t="inlineStr">
        <is>
          <t>Retail_KES</t>
        </is>
      </c>
      <c r="M1" s="40" t="inlineStr">
        <is>
          <t>Pychological  Pricing</t>
        </is>
      </c>
      <c r="N1" s="39" t="inlineStr">
        <is>
          <t>Retail_USD</t>
        </is>
      </c>
      <c r="O1" s="40" t="inlineStr">
        <is>
          <t>Wholesale_KES</t>
        </is>
      </c>
      <c r="P1" s="39" t="inlineStr">
        <is>
          <t>Wholesale_USD</t>
        </is>
      </c>
      <c r="Q1" s="40" t="inlineStr">
        <is>
          <t>Corporate_KES</t>
        </is>
      </c>
      <c r="R1" s="39" t="inlineStr">
        <is>
          <t>Corporate_USD</t>
        </is>
      </c>
      <c r="S1" s="40" t="inlineStr">
        <is>
          <t>Influencer_KES</t>
        </is>
      </c>
      <c r="T1" s="39" t="inlineStr">
        <is>
          <t>Influencer_USD</t>
        </is>
      </c>
      <c r="U1" s="41" t="inlineStr">
        <is>
          <t>Quantity</t>
        </is>
      </c>
      <c r="V1" s="41" t="inlineStr">
        <is>
          <t>REVENUE</t>
        </is>
      </c>
    </row>
    <row r="2" ht="58.2" customHeight="1">
      <c r="A2" s="70" t="inlineStr">
        <is>
          <t>Home &amp; Utility</t>
        </is>
      </c>
      <c r="B2" s="70" t="inlineStr">
        <is>
          <t>Core</t>
        </is>
      </c>
      <c r="C2" s="69" t="inlineStr">
        <is>
          <t>ER800-4 Auto flush</t>
        </is>
      </c>
      <c r="D2" s="82" t="inlineStr">
        <is>
          <t>800G tankless RO
with TDS display and Filter life light
reminder
with auto flushing funtion
with Wifi + App control</t>
        </is>
      </c>
      <c r="E2" s="70" t="inlineStr">
        <is>
          <t>Certification : SGS/ROHS/FDA</t>
        </is>
      </c>
      <c r="F2" s="83" t="inlineStr">
        <is>
          <t>Smart RO Tankless</t>
        </is>
      </c>
      <c r="G2" s="83" t="inlineStr">
        <is>
          <t xml:space="preserve">Pure Home </t>
        </is>
      </c>
      <c r="H2" s="80" t="inlineStr">
        <is>
          <t>UC-HOU-PHRO-001</t>
        </is>
      </c>
      <c r="I2" s="80" t="n">
        <v>108</v>
      </c>
      <c r="J2" s="83" t="n">
        <v>140</v>
      </c>
      <c r="K2" s="83">
        <f>IF(NOT(ISNUMBER(Table1[[#This Row],[Landing Cost]])),"",Table1[[#This Row],[Landing Cost]]*FX_USD_KES)</f>
        <v/>
      </c>
      <c r="L2" s="83">
        <f>IF(NOT(ISNUMBER(Table1[[#This Row],[Cost_KES]])),"",Table1[[#This Row],[Cost_KES]]*MULT_RETAIL_CORE)</f>
        <v/>
      </c>
      <c r="M2" s="49">
        <f>IF(NOT(ISNUMBER(Table1[[#This Row],[Retail_KES]])),"",IF(Table1[[#This Row],[Retail_KES]]&lt;=0,"",IF(Table1[[#This Row],[Retail_KES]]&gt;=10000, ROUNDUP(Table1[[#This Row],[Retail_KES]]/1000,0)*1000-10,
 IF(Table1[[#This Row],[Retail_KES]]&gt;=3000, ROUNDUP(Table1[[#This Row],[Retail_KES]]/100,0)*100-1,
 ROUNDUP(Table1[[#This Row],[Retail_KES]]/10,0)*10-0.01))))</f>
        <v/>
      </c>
      <c r="N2" s="83">
        <f>IFERROR(Table1[[#This Row],[Pychological  Pricing]]/FX_USD_KES,"")</f>
        <v/>
      </c>
      <c r="O2" s="50">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 s="83">
        <f>IFERROR(Table1[[#This Row],[Wholesale_KES]]/FX_USD_KES,"")</f>
        <v/>
      </c>
      <c r="Q2" s="50">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 s="83">
        <f>IFERROR(Table1[[#This Row],[Corporate_KES]]/FX_USD_KES,"")</f>
        <v/>
      </c>
      <c r="S2" s="50">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 s="83">
        <f>IFERROR(Table1[[#This Row],[Influencer_KES]]/FX_USD_KES,"")</f>
        <v/>
      </c>
      <c r="U2" s="47" t="n">
        <v>0</v>
      </c>
      <c r="V2" s="83">
        <f>IF(NOT(ISNUMBER(Table1[[#This Row],[Pychological  Pricing]])),"",Table1[[#This Row],[Quantity]]*Table1[[#This Row],[Pychological  Pricing]])</f>
        <v/>
      </c>
    </row>
    <row r="3" ht="99" customHeight="1">
      <c r="A3" s="70" t="inlineStr">
        <is>
          <t>Home &amp; Utility</t>
        </is>
      </c>
      <c r="B3" s="70" t="inlineStr">
        <is>
          <t>Core</t>
        </is>
      </c>
      <c r="C3" s="69" t="inlineStr">
        <is>
          <t>MF1080-S</t>
        </is>
      </c>
      <c r="D3" s="82" t="inlineStr">
        <is>
          <t>Faucet Body SS304
Pre-installed Filter * 1 (Carbon+Lead
remove)
Aerator (vary by model)Escutcheon
PlateRed Line (hot water)
Blue Line (cold water)
Optional Quick-Connect Components
Waterproof Rubber Ring
Threaded Metal Pipe
Rubber Gasket
Metal Gasket
Mounting Nut
Screws * 2</t>
        </is>
      </c>
      <c r="E3" s="70" t="inlineStr">
        <is>
          <t>Certification : SGS/ROHS/FDA</t>
        </is>
      </c>
      <c r="F3" s="83" t="inlineStr">
        <is>
          <t>Single Faucet Filter</t>
        </is>
      </c>
      <c r="G3" s="83" t="inlineStr">
        <is>
          <t>Ultra Pure</t>
        </is>
      </c>
      <c r="H3" s="80" t="inlineStr">
        <is>
          <t>UC-HOU-URO-001</t>
        </is>
      </c>
      <c r="I3" s="80" t="n">
        <v>30</v>
      </c>
      <c r="J3" s="83" t="n">
        <v>60</v>
      </c>
      <c r="K3" s="83">
        <f>IF(NOT(ISNUMBER(Table1[[#This Row],[Landing Cost]])),"",Table1[[#This Row],[Landing Cost]]*FX_USD_KES)</f>
        <v/>
      </c>
      <c r="L3" s="83">
        <f>IF(NOT(ISNUMBER(Table1[[#This Row],[Cost_KES]])),"",Table1[[#This Row],[Cost_KES]]*MULT_RETAIL_CORE)</f>
        <v/>
      </c>
      <c r="M3" s="49">
        <f>IF(NOT(ISNUMBER(Table1[[#This Row],[Retail_KES]])),"",IF(Table1[[#This Row],[Retail_KES]]&lt;=0,"",IF(Table1[[#This Row],[Retail_KES]]&gt;=10000, ROUNDUP(Table1[[#This Row],[Retail_KES]]/1000,0)*1000-10,
 IF(Table1[[#This Row],[Retail_KES]]&gt;=3000, ROUNDUP(Table1[[#This Row],[Retail_KES]]/100,0)*100-1,
 ROUNDUP(Table1[[#This Row],[Retail_KES]]/10,0)*10-0.01))))</f>
        <v/>
      </c>
      <c r="N3" s="83">
        <f>IFERROR(Table1[[#This Row],[Pychological  Pricing]]/FX_USD_KES,"")</f>
        <v/>
      </c>
      <c r="O3" s="50">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 s="83">
        <f>IFERROR(Table1[[#This Row],[Wholesale_KES]]/FX_USD_KES,"")</f>
        <v/>
      </c>
      <c r="Q3" s="50">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 s="83">
        <f>IFERROR(Table1[[#This Row],[Corporate_KES]]/FX_USD_KES,"")</f>
        <v/>
      </c>
      <c r="S3" s="50">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 s="83">
        <f>IFERROR(Table1[[#This Row],[Influencer_KES]]/FX_USD_KES,"")</f>
        <v/>
      </c>
      <c r="U3" s="47" t="n">
        <v>0</v>
      </c>
      <c r="V3" s="83">
        <f>IF(NOT(ISNUMBER(Table1[[#This Row],[Pychological  Pricing]])),"",Table1[[#This Row],[Quantity]]*Table1[[#This Row],[Pychological  Pricing]])</f>
        <v/>
      </c>
    </row>
    <row r="4" ht="128.4" customHeight="1">
      <c r="A4" s="70" t="inlineStr">
        <is>
          <t>Home &amp; Utility</t>
        </is>
      </c>
      <c r="B4" s="70" t="inlineStr">
        <is>
          <t>Core</t>
        </is>
      </c>
      <c r="C4" s="69" t="inlineStr">
        <is>
          <t>MF1080-D</t>
        </is>
      </c>
      <c r="D4" s="82" t="inlineStr">
        <is>
          <t>Pre-installed Filter * 1 (Carbon+Lead
remove)
Aerator (vary by model)Escutcheon
PlateRed Line (hot water)
Blue Line (cold water)
Optional Quick-Connect Components
Waterproof Rubber Ring
Threaded Metal Pipe
Rubber Gasket
Metal Gasket
Mounting Nut
Screws * 2</t>
        </is>
      </c>
      <c r="E4" s="70" t="inlineStr">
        <is>
          <t>Certification : SGS/ROHS/FDA</t>
        </is>
      </c>
      <c r="F4" s="83" t="inlineStr">
        <is>
          <t>Double Inline Faucet Filter</t>
        </is>
      </c>
      <c r="G4" s="83" t="inlineStr">
        <is>
          <t>Ultra Pure 2</t>
        </is>
      </c>
      <c r="H4" s="80" t="inlineStr">
        <is>
          <t>UC-HOU-URO-002</t>
        </is>
      </c>
      <c r="I4" s="80" t="n">
        <v>34</v>
      </c>
      <c r="J4" s="83" t="n">
        <v>65</v>
      </c>
      <c r="K4" s="83">
        <f>IF(NOT(ISNUMBER(Table1[[#This Row],[Landing Cost]])),"",Table1[[#This Row],[Landing Cost]]*FX_USD_KES)</f>
        <v/>
      </c>
      <c r="L4" s="83">
        <f>IF(NOT(ISNUMBER(Table1[[#This Row],[Cost_KES]])),"",Table1[[#This Row],[Cost_KES]]*MULT_RETAIL_CORE)</f>
        <v/>
      </c>
      <c r="M4" s="49">
        <f>IF(NOT(ISNUMBER(Table1[[#This Row],[Retail_KES]])),"",IF(Table1[[#This Row],[Retail_KES]]&lt;=0,"",IF(Table1[[#This Row],[Retail_KES]]&gt;=10000, ROUNDUP(Table1[[#This Row],[Retail_KES]]/1000,0)*1000-10,
 IF(Table1[[#This Row],[Retail_KES]]&gt;=3000, ROUNDUP(Table1[[#This Row],[Retail_KES]]/100,0)*100-1,
 ROUNDUP(Table1[[#This Row],[Retail_KES]]/10,0)*10-0.01))))</f>
        <v/>
      </c>
      <c r="N4" s="83">
        <f>IFERROR(Table1[[#This Row],[Pychological  Pricing]]/FX_USD_KES,"")</f>
        <v/>
      </c>
      <c r="O4" s="50">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4" s="83">
        <f>IFERROR(Table1[[#This Row],[Wholesale_KES]]/FX_USD_KES,"")</f>
        <v/>
      </c>
      <c r="Q4" s="50">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4" s="83">
        <f>IFERROR(Table1[[#This Row],[Corporate_KES]]/FX_USD_KES,"")</f>
        <v/>
      </c>
      <c r="S4" s="50">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4" s="83">
        <f>IFERROR(Table1[[#This Row],[Influencer_KES]]/FX_USD_KES,"")</f>
        <v/>
      </c>
      <c r="U4" s="47" t="n"/>
      <c r="V4" s="83">
        <f>IF(NOT(ISNUMBER(Table1[[#This Row],[Pychological  Pricing]])),"",Table1[[#This Row],[Quantity]]*Table1[[#This Row],[Pychological  Pricing]])</f>
        <v/>
      </c>
    </row>
    <row r="5" ht="144" customHeight="1">
      <c r="A5" s="70" t="inlineStr">
        <is>
          <t>Home &amp; Utility</t>
        </is>
      </c>
      <c r="B5" s="70" t="inlineStr">
        <is>
          <t>Core</t>
        </is>
      </c>
      <c r="C5" s="69" t="inlineStr">
        <is>
          <t>6 stage plastic stand bracket RO unit</t>
        </is>
      </c>
      <c r="D5" s="82" t="inlineStr">
        <is>
          <t>6 stage plastic stand bracket RO unit
*6 stage: PP+GAC+CTO+RO+T33+Mineral
*Booster pump
*Reverse osmosis(RO) membrane
*Purifying capacity:100G
*Power adapter
*304 Stainless steel drinking faucet
*3.2G pressure water tank
*Auto flush/Manual flush
*Metal inflow valve
*under sink / wall hanging
*Applicable water: 0.1-0.4Mpa/5-38 ℃
*Applicable voltage: 110-220V</t>
        </is>
      </c>
      <c r="E5" s="70" t="inlineStr">
        <is>
          <t>Certification : SGS/ROHS/FDA</t>
        </is>
      </c>
      <c r="F5" s="70" t="inlineStr">
        <is>
          <t>6-stage RO transparent</t>
        </is>
      </c>
      <c r="G5" s="83" t="inlineStr">
        <is>
          <t>Pure Blue</t>
        </is>
      </c>
      <c r="H5" s="3" t="inlineStr">
        <is>
          <t>UC-HOU-ROS-001</t>
        </is>
      </c>
      <c r="I5" s="79" t="n">
        <v>47</v>
      </c>
      <c r="J5" s="70" t="n">
        <v>101.72</v>
      </c>
      <c r="K5" s="70">
        <f>IF(NOT(ISNUMBER(Table1[[#This Row],[Landing Cost]])),"",Table1[[#This Row],[Landing Cost]]*FX_USD_KES)</f>
        <v/>
      </c>
      <c r="L5" s="70">
        <f>IF(NOT(ISNUMBER(Table1[[#This Row],[Cost_KES]])),"",Table1[[#This Row],[Cost_KES]]*MULT_RETAIL_CORE)</f>
        <v/>
      </c>
      <c r="M5" s="71">
        <f>IF(NOT(ISNUMBER(Table1[[#This Row],[Retail_KES]])),"",IF(Table1[[#This Row],[Retail_KES]]&lt;=0,"",IF(Table1[[#This Row],[Retail_KES]]&gt;=10000, ROUNDUP(Table1[[#This Row],[Retail_KES]]/1000,0)*1000-10,
 IF(Table1[[#This Row],[Retail_KES]]&gt;=3000, ROUNDUP(Table1[[#This Row],[Retail_KES]]/100,0)*100-1,
 ROUNDUP(Table1[[#This Row],[Retail_KES]]/10,0)*10-0.01))))</f>
        <v/>
      </c>
      <c r="N5" s="70">
        <f>IFERROR(Table1[[#This Row],[Pychological  Pricing]]/FX_USD_KES,"")</f>
        <v/>
      </c>
      <c r="O5"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5" s="70">
        <f>IFERROR(Table1[[#This Row],[Wholesale_KES]]/FX_USD_KES,"")</f>
        <v/>
      </c>
      <c r="Q5"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5" s="70">
        <f>IFERROR(Table1[[#This Row],[Corporate_KES]]/FX_USD_KES,"")</f>
        <v/>
      </c>
      <c r="S5"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5" s="70">
        <f>IFERROR(Table1[[#This Row],[Influencer_KES]]/FX_USD_KES,"")</f>
        <v/>
      </c>
      <c r="U5" s="52" t="n">
        <v>0</v>
      </c>
      <c r="V5" s="70">
        <f>IF(NOT(ISNUMBER(Table1[[#This Row],[Pychological  Pricing]])),"",Table1[[#This Row],[Quantity]]*Table1[[#This Row],[Pychological  Pricing]])</f>
        <v/>
      </c>
      <c r="AA5" s="1" t="n"/>
      <c r="AB5" s="1" t="n"/>
      <c r="AC5" s="1" t="n"/>
      <c r="AD5" s="1" t="n"/>
      <c r="AE5" s="1" t="n"/>
    </row>
    <row r="6" ht="152.4" customHeight="1">
      <c r="A6" s="70" t="inlineStr">
        <is>
          <t>Commercial</t>
        </is>
      </c>
      <c r="B6" s="70" t="inlineStr">
        <is>
          <t>Core</t>
        </is>
      </c>
      <c r="C6" s="69" t="inlineStr">
        <is>
          <t>Commercial RO Water Filter System 1200GPD</t>
        </is>
      </c>
      <c r="D6" s="82" t="inlineStr">
        <is>
          <t>1200 GPD RO System
Digital Display
Dual Booster Pumps
Dual RO Membranes
Dual Power Adapters
304 Stainless Steel Faucet</t>
        </is>
      </c>
      <c r="E6" s="70" t="inlineStr">
        <is>
          <t>Certification : SGS/ROHS/FDA</t>
        </is>
      </c>
      <c r="F6" s="70" t="inlineStr">
        <is>
          <t>Commercial RO System</t>
        </is>
      </c>
      <c r="G6" s="83" t="inlineStr">
        <is>
          <t>Aqua Stream 1200D</t>
        </is>
      </c>
      <c r="H6" s="3" t="inlineStr">
        <is>
          <t>UC-COM-ROS-002</t>
        </is>
      </c>
      <c r="I6" s="79" t="n">
        <v>140</v>
      </c>
      <c r="J6" s="70">
        <f>ROUND($I6+0.083025*FREIGHT_RATE,2)</f>
        <v/>
      </c>
      <c r="K6" s="70">
        <f>IF(NOT(ISNUMBER(Table1[[#This Row],[Landing Cost]])),"",Table1[[#This Row],[Landing Cost]]*FX_USD_KES)</f>
        <v/>
      </c>
      <c r="L6" s="70">
        <f>IF(NOT(ISNUMBER(Table1[[#This Row],[Cost_KES]])),"",Table1[[#This Row],[Cost_KES]]*MULT_RETAIL_CORE)</f>
        <v/>
      </c>
      <c r="M6" s="71">
        <f>IF(NOT(ISNUMBER(Table1[[#This Row],[Retail_KES]])),"",IF(Table1[[#This Row],[Retail_KES]]&lt;=0,"",IF(Table1[[#This Row],[Retail_KES]]&gt;=10000, ROUNDUP(Table1[[#This Row],[Retail_KES]]/1000,0)*1000-10,
 IF(Table1[[#This Row],[Retail_KES]]&gt;=3000, ROUNDUP(Table1[[#This Row],[Retail_KES]]/100,0)*100-1,
 ROUNDUP(Table1[[#This Row],[Retail_KES]]/10,0)*10-0.01))))</f>
        <v/>
      </c>
      <c r="N6" s="70">
        <f>IFERROR(Table1[[#This Row],[Pychological  Pricing]]/FX_USD_KES,"")</f>
        <v/>
      </c>
      <c r="O6"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6" s="70">
        <f>IFERROR(Table1[[#This Row],[Wholesale_KES]]/FX_USD_KES,"")</f>
        <v/>
      </c>
      <c r="Q6"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6" s="70">
        <f>IFERROR(Table1[[#This Row],[Corporate_KES]]/FX_USD_KES,"")</f>
        <v/>
      </c>
      <c r="S6"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6" s="70">
        <f>IFERROR(Table1[[#This Row],[Influencer_KES]]/FX_USD_KES,"")</f>
        <v/>
      </c>
      <c r="U6" s="52" t="n">
        <v>0</v>
      </c>
      <c r="V6" s="70">
        <f>IF(NOT(ISNUMBER(Table1[[#This Row],[Pychological  Pricing]])),"",Table1[[#This Row],[Quantity]]*Table1[[#This Row],[Pychological  Pricing]])</f>
        <v/>
      </c>
      <c r="AA6" s="2" t="n"/>
      <c r="AB6" s="2" t="n"/>
      <c r="AC6" s="2" t="n"/>
      <c r="AD6" s="2" t="inlineStr">
        <is>
          <t>Manufacturers Model code (Packing List SKU)</t>
        </is>
      </c>
      <c r="AE6" s="3" t="n"/>
    </row>
    <row r="7" ht="86.40000000000001" customHeight="1">
      <c r="A7" s="70" t="inlineStr">
        <is>
          <t>Home &amp; Utility</t>
        </is>
      </c>
      <c r="B7" s="70" t="inlineStr">
        <is>
          <t>Core</t>
        </is>
      </c>
      <c r="C7" s="69" t="inlineStr">
        <is>
          <t>ET-2S</t>
        </is>
      </c>
      <c r="D7" s="82" t="inlineStr">
        <is>
          <t>Electric Water Filter Pitcher
2 stage water filters
1st stage: 1 micron carbon block with
lead remove
2st stage: 1 micron carbon block with
lead remove</t>
        </is>
      </c>
      <c r="E7" s="70" t="inlineStr">
        <is>
          <t>Certification : SGS/ROHS/FDA</t>
        </is>
      </c>
      <c r="F7" s="70" t="inlineStr">
        <is>
          <t>Wireless Pitcher Filter</t>
        </is>
      </c>
      <c r="G7" s="83" t="inlineStr">
        <is>
          <t>Pure Shield</t>
        </is>
      </c>
      <c r="H7" s="3" t="inlineStr">
        <is>
          <t>UC-HOU-WPF-003</t>
        </is>
      </c>
      <c r="I7" s="79" t="n">
        <v>44</v>
      </c>
      <c r="J7" s="70" t="n">
        <v>55</v>
      </c>
      <c r="K7" s="70">
        <f>IF(NOT(ISNUMBER(Table1[[#This Row],[Landing Cost]])),"",Table1[[#This Row],[Landing Cost]]*FX_USD_KES)</f>
        <v/>
      </c>
      <c r="L7" s="70">
        <f>IF(NOT(ISNUMBER(Table1[[#This Row],[Cost_KES]])),"",Table1[[#This Row],[Cost_KES]]*MULT_RETAIL_CORE)</f>
        <v/>
      </c>
      <c r="M7" s="71">
        <f>IF(NOT(ISNUMBER(Table1[[#This Row],[Retail_KES]])),"",IF(Table1[[#This Row],[Retail_KES]]&lt;=0,"",IF(Table1[[#This Row],[Retail_KES]]&gt;=10000, ROUNDUP(Table1[[#This Row],[Retail_KES]]/1000,0)*1000-10,
 IF(Table1[[#This Row],[Retail_KES]]&gt;=3000, ROUNDUP(Table1[[#This Row],[Retail_KES]]/100,0)*100-1,
 ROUNDUP(Table1[[#This Row],[Retail_KES]]/10,0)*10-0.01))))</f>
        <v/>
      </c>
      <c r="N7" s="70">
        <f>IFERROR(Table1[[#This Row],[Pychological  Pricing]]/FX_USD_KES,"")</f>
        <v/>
      </c>
      <c r="O7"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7" s="70">
        <f>IFERROR(Table1[[#This Row],[Wholesale_KES]]/FX_USD_KES,"")</f>
        <v/>
      </c>
      <c r="Q7"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7" s="70">
        <f>IFERROR(Table1[[#This Row],[Corporate_KES]]/FX_USD_KES,"")</f>
        <v/>
      </c>
      <c r="S7"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7" s="70">
        <f>IFERROR(Table1[[#This Row],[Influencer_KES]]/FX_USD_KES,"")</f>
        <v/>
      </c>
      <c r="U7" s="52" t="n">
        <v>0</v>
      </c>
      <c r="V7" s="70">
        <f>IF(NOT(ISNUMBER(Table1[[#This Row],[Pychological  Pricing]])),"",Table1[[#This Row],[Quantity]]*Table1[[#This Row],[Pychological  Pricing]])</f>
        <v/>
      </c>
      <c r="W7" s="53" t="inlineStr">
        <is>
          <t>Forex Rate USD</t>
        </is>
      </c>
      <c r="AA7" s="2" t="n"/>
      <c r="AB7" s="2" t="n"/>
      <c r="AC7" s="2" t="n"/>
      <c r="AD7" s="16" t="inlineStr">
        <is>
          <t>740ml stainless steel water filter bottle
BG-B01</t>
        </is>
      </c>
      <c r="AE7" s="3" t="n"/>
    </row>
    <row r="8" ht="26.4" customHeight="1">
      <c r="A8" s="70" t="inlineStr">
        <is>
          <t>Home &amp; Utility</t>
        </is>
      </c>
      <c r="B8" s="70" t="inlineStr">
        <is>
          <t>Core</t>
        </is>
      </c>
      <c r="C8" s="69" t="inlineStr">
        <is>
          <t>ER800-4 Auto flush</t>
        </is>
      </c>
      <c r="D8" s="75" t="n"/>
      <c r="E8" s="70" t="inlineStr">
        <is>
          <t>Certification : SGS/ROHS/FDA</t>
        </is>
      </c>
      <c r="F8" s="70" t="inlineStr">
        <is>
          <t>Undersink 3-stage filter</t>
        </is>
      </c>
      <c r="G8" s="83" t="inlineStr">
        <is>
          <t>Aqua Drop</t>
        </is>
      </c>
      <c r="H8" s="3" t="inlineStr">
        <is>
          <t>UC-HOU-USF-004</t>
        </is>
      </c>
      <c r="I8" s="79" t="n"/>
      <c r="J8" s="70" t="n">
        <v>50.32</v>
      </c>
      <c r="K8" s="70">
        <f>IF(NOT(ISNUMBER(Table1[[#This Row],[Landing Cost]])),"",Table1[[#This Row],[Landing Cost]]*FX_USD_KES)</f>
        <v/>
      </c>
      <c r="L8" s="70">
        <f>IF(NOT(ISNUMBER(Table1[[#This Row],[Cost_KES]])),"",Table1[[#This Row],[Cost_KES]]*MULT_RETAIL_CORE)</f>
        <v/>
      </c>
      <c r="M8" s="71">
        <f>IF(NOT(ISNUMBER(Table1[[#This Row],[Retail_KES]])),"",IF(Table1[[#This Row],[Retail_KES]]&lt;=0,"",IF(Table1[[#This Row],[Retail_KES]]&gt;=10000, ROUNDUP(Table1[[#This Row],[Retail_KES]]/1000,0)*1000-10,
 IF(Table1[[#This Row],[Retail_KES]]&gt;=3000, ROUNDUP(Table1[[#This Row],[Retail_KES]]/100,0)*100-1,
 ROUNDUP(Table1[[#This Row],[Retail_KES]]/10,0)*10-0.01))))</f>
        <v/>
      </c>
      <c r="N8" s="70">
        <f>IFERROR(Table1[[#This Row],[Pychological  Pricing]]/FX_USD_KES,"")</f>
        <v/>
      </c>
      <c r="O8"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8" s="70">
        <f>IFERROR(Table1[[#This Row],[Wholesale_KES]]/FX_USD_KES,"")</f>
        <v/>
      </c>
      <c r="Q8"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8" s="70">
        <f>IFERROR(Table1[[#This Row],[Corporate_KES]]/FX_USD_KES,"")</f>
        <v/>
      </c>
      <c r="S8"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8" s="70">
        <f>IFERROR(Table1[[#This Row],[Influencer_KES]]/FX_USD_KES,"")</f>
        <v/>
      </c>
      <c r="U8" s="52" t="n"/>
      <c r="V8" s="70">
        <f>IF(NOT(ISNUMBER(Table1[[#This Row],[Pychological  Pricing]])),"",Table1[[#This Row],[Quantity]]*Table1[[#This Row],[Pychological  Pricing]])</f>
        <v/>
      </c>
      <c r="W8" s="53">
        <f>FX_USD_KES</f>
        <v/>
      </c>
      <c r="AA8" s="2" t="n"/>
      <c r="AB8" s="2" t="n"/>
      <c r="AC8" s="2" t="n"/>
      <c r="AD8" s="16" t="inlineStr">
        <is>
          <t>769ml tritan water filter bottle
BG-B02</t>
        </is>
      </c>
      <c r="AE8" s="3" t="n"/>
    </row>
    <row r="9" ht="158.4" customHeight="1">
      <c r="A9" s="70" t="inlineStr">
        <is>
          <t>Home &amp; Utility</t>
        </is>
      </c>
      <c r="B9" s="70" t="inlineStr">
        <is>
          <t>Core</t>
        </is>
      </c>
      <c r="C9" s="69" t="inlineStr">
        <is>
          <t>ultra filter faucet
BG-T01U</t>
        </is>
      </c>
      <c r="D9" s="82" t="inlineStr">
        <is>
          <t>Stage1: Non-woven fabric
Stage2: Carbon fiber 
Stage3: Granular Carbon 
Stage4: Ultrafiltration membrane
Function: Remove sand, rust and other particulate impurities, absorb residual chlorine and other organic compounds, color,odor, and remove bacteria .
lifetime:  1500L ( 3-4 months )
Carton Capacity: 45x37.5x37cm/30pcs/16.6KG</t>
        </is>
      </c>
      <c r="E9" s="69" t="inlineStr">
        <is>
          <t xml:space="preserve">Certification : SGS/ROHS/FDA
Bacterial removal rate 99.999%
Virus removal rate 99.9%
</t>
        </is>
      </c>
      <c r="F9" s="70" t="inlineStr">
        <is>
          <t>Advanced tap water filter</t>
        </is>
      </c>
      <c r="G9" s="83" t="inlineStr">
        <is>
          <t>Home sweet Home Filter set</t>
        </is>
      </c>
      <c r="H9" s="3" t="inlineStr">
        <is>
          <t>UC-HOU-TAP-005</t>
        </is>
      </c>
      <c r="I9" s="79" t="n">
        <v>7</v>
      </c>
      <c r="J9" s="70" t="n">
        <v>12</v>
      </c>
      <c r="K9" s="70">
        <f>IF(NOT(ISNUMBER(Table1[[#This Row],[Landing Cost]])),"",Table1[[#This Row],[Landing Cost]]*FX_USD_KES)</f>
        <v/>
      </c>
      <c r="L9" s="70">
        <f>IF(NOT(ISNUMBER(Table1[[#This Row],[Cost_KES]])),"",Table1[[#This Row],[Cost_KES]]*MULT_RETAIL_CORE)</f>
        <v/>
      </c>
      <c r="M9" s="71">
        <f>IF(NOT(ISNUMBER(Table1[[#This Row],[Retail_KES]])),"",IF(Table1[[#This Row],[Retail_KES]]&lt;=0,"",IF(Table1[[#This Row],[Retail_KES]]&gt;=10000, ROUNDUP(Table1[[#This Row],[Retail_KES]]/1000,0)*1000-10,
 IF(Table1[[#This Row],[Retail_KES]]&gt;=3000, ROUNDUP(Table1[[#This Row],[Retail_KES]]/100,0)*100-1,
 ROUNDUP(Table1[[#This Row],[Retail_KES]]/10,0)*10-0.01))))</f>
        <v/>
      </c>
      <c r="N9" s="70">
        <f>IFERROR(Table1[[#This Row],[Pychological  Pricing]]/FX_USD_KES,"")</f>
        <v/>
      </c>
      <c r="O9"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9" s="70">
        <f>IFERROR(Table1[[#This Row],[Wholesale_KES]]/FX_USD_KES,"")</f>
        <v/>
      </c>
      <c r="Q9"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9" s="70">
        <f>IFERROR(Table1[[#This Row],[Corporate_KES]]/FX_USD_KES,"")</f>
        <v/>
      </c>
      <c r="S9"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9" s="70">
        <f>IFERROR(Table1[[#This Row],[Influencer_KES]]/FX_USD_KES,"")</f>
        <v/>
      </c>
      <c r="U9" s="52" t="n">
        <v>0</v>
      </c>
      <c r="V9" s="70">
        <f>IF(NOT(ISNUMBER(Table1[[#This Row],[Pychological  Pricing]])),"",Table1[[#This Row],[Quantity]]*Table1[[#This Row],[Pychological  Pricing]])</f>
        <v/>
      </c>
      <c r="AA9" s="2" t="n"/>
      <c r="AB9" s="2" t="n"/>
      <c r="AC9" s="2" t="n"/>
      <c r="AD9" s="86" t="n"/>
      <c r="AE9" s="3" t="n"/>
    </row>
    <row r="10" ht="186" customHeight="1">
      <c r="A10" s="70" t="inlineStr">
        <is>
          <t>Home &amp; Utility</t>
        </is>
      </c>
      <c r="B10" s="70" t="inlineStr">
        <is>
          <t>consumables</t>
        </is>
      </c>
      <c r="C10" s="69" t="inlineStr">
        <is>
          <t>faucet filter cartridge
BG-F01U</t>
        </is>
      </c>
      <c r="D10" s="82" t="inlineStr">
        <is>
          <t>Stage1: Non-woven fabric
Stage2: Carbon fiber 
Stage3: Granular Carbon 
Stage4: Ultrafiltration membrane
Function: Remove sand, rust and other particulate impurities, absorb residual chlorine and other organic compounds, color,odor, and remove bacteria .
lifetime:  1500L ( 3-4 months )                                        49*19.5*30cm/120pcs</t>
        </is>
      </c>
      <c r="E10" s="69" t="inlineStr">
        <is>
          <t>Certification : SGS/ROHS/FDA
Bacterial removal rate 99.999%
Virus removal rate 99.9%</t>
        </is>
      </c>
      <c r="F10" s="70" t="inlineStr">
        <is>
          <t>Advanced tap filter only</t>
        </is>
      </c>
      <c r="G10" s="83" t="inlineStr">
        <is>
          <t>Home sweet Home Filter</t>
        </is>
      </c>
      <c r="H10" s="3" t="inlineStr">
        <is>
          <t>UC-HOU-TAPF-006</t>
        </is>
      </c>
      <c r="I10" s="79" t="n">
        <v>5</v>
      </c>
      <c r="J10" s="70" t="n">
        <v>5.5</v>
      </c>
      <c r="K10" s="70">
        <f>IF(NOT(ISNUMBER(Table1[[#This Row],[Landing Cost]])),"",Table1[[#This Row],[Landing Cost]]*FX_USD_KES)</f>
        <v/>
      </c>
      <c r="L10" s="70">
        <f>IF(NOT(ISNUMBER(Table1[[#This Row],[Cost_KES]])),"",Table1[[#This Row],[Cost_KES]]*MULT_RETAIL_CORE)</f>
        <v/>
      </c>
      <c r="M10" s="71">
        <f>IF(NOT(ISNUMBER(Table1[[#This Row],[Retail_KES]])),"",IF(Table1[[#This Row],[Retail_KES]]&lt;=0,"",IF(Table1[[#This Row],[Retail_KES]]&gt;=10000, ROUNDUP(Table1[[#This Row],[Retail_KES]]/1000,0)*1000-10,
 IF(Table1[[#This Row],[Retail_KES]]&gt;=3000, ROUNDUP(Table1[[#This Row],[Retail_KES]]/100,0)*100-1,
 ROUNDUP(Table1[[#This Row],[Retail_KES]]/10,0)*10-0.01))))</f>
        <v/>
      </c>
      <c r="N10" s="70">
        <f>IFERROR(Table1[[#This Row],[Pychological  Pricing]]/FX_USD_KES,"")</f>
        <v/>
      </c>
      <c r="O10"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0" s="70">
        <f>IFERROR(Table1[[#This Row],[Wholesale_KES]]/FX_USD_KES,"")</f>
        <v/>
      </c>
      <c r="Q10"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0" s="70">
        <f>IFERROR(Table1[[#This Row],[Corporate_KES]]/FX_USD_KES,"")</f>
        <v/>
      </c>
      <c r="S10"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0" s="70">
        <f>IFERROR(Table1[[#This Row],[Influencer_KES]]/FX_USD_KES,"")</f>
        <v/>
      </c>
      <c r="U10" s="52" t="n">
        <v>93</v>
      </c>
      <c r="V10" s="70">
        <f>IF(NOT(ISNUMBER(Table1[[#This Row],[Pychological  Pricing]])),"",Table1[[#This Row],[Quantity]]*Table1[[#This Row],[Pychological  Pricing]])</f>
        <v/>
      </c>
      <c r="X10" s="54" t="inlineStr">
        <is>
          <t>Discount Categories</t>
        </is>
      </c>
      <c r="Y10" s="42" t="inlineStr">
        <is>
          <t>Core Product Discounts</t>
        </is>
      </c>
      <c r="Z10" s="42" t="inlineStr">
        <is>
          <t>Consumables</t>
        </is>
      </c>
      <c r="AA10" s="2" t="n"/>
      <c r="AB10" s="2" t="n"/>
      <c r="AC10" s="2" t="n"/>
      <c r="AD10" s="16" t="inlineStr">
        <is>
          <t>500ml tritan water filter bottle(black)
   BG-B06</t>
        </is>
      </c>
      <c r="AE10" s="3" t="n"/>
    </row>
    <row r="11" ht="67.8" customHeight="1" thickBot="1">
      <c r="A11" s="70" t="inlineStr">
        <is>
          <t>Home &amp; Utility</t>
        </is>
      </c>
      <c r="B11" s="70" t="inlineStr">
        <is>
          <t>Core</t>
        </is>
      </c>
      <c r="C11" s="69" t="n"/>
      <c r="D11" s="82" t="inlineStr">
        <is>
          <t>*Bacterial removal rate 99.999%
*Virus removal rate 99.9%
*Initial removal rate of heavy metals: 99%</t>
        </is>
      </c>
      <c r="E11" s="69" t="inlineStr">
        <is>
          <t>Certification : SGS/ROHS
Bacterial removal rate 99.999%
Virus removal rate 99.9%
Initial removal rate of heavy metals: 99%
lifetime: 150L</t>
        </is>
      </c>
      <c r="F11" s="70" t="inlineStr">
        <is>
          <t>Water filter pump</t>
        </is>
      </c>
      <c r="G11" s="83" t="inlineStr">
        <is>
          <t>Wireless Dispenser Filter Set</t>
        </is>
      </c>
      <c r="H11" s="3" t="inlineStr">
        <is>
          <t>UC-HOU-WDFS-006</t>
        </is>
      </c>
      <c r="I11" s="79" t="n">
        <v>8</v>
      </c>
      <c r="J11" s="70" t="n">
        <v>12</v>
      </c>
      <c r="K11" s="70">
        <f>IF(NOT(ISNUMBER(Table1[[#This Row],[Landing Cost]])),"",Table1[[#This Row],[Landing Cost]]*FX_USD_KES)</f>
        <v/>
      </c>
      <c r="L11" s="70">
        <f>IF(NOT(ISNUMBER(Table1[[#This Row],[Cost_KES]])),"",Table1[[#This Row],[Cost_KES]]*MULT_RETAIL_CORE)</f>
        <v/>
      </c>
      <c r="M11" s="71">
        <f>IF(NOT(ISNUMBER(Table1[[#This Row],[Retail_KES]])),"",IF(Table1[[#This Row],[Retail_KES]]&lt;=0,"",IF(Table1[[#This Row],[Retail_KES]]&gt;=10000, ROUNDUP(Table1[[#This Row],[Retail_KES]]/1000,0)*1000-10,
 IF(Table1[[#This Row],[Retail_KES]]&gt;=3000, ROUNDUP(Table1[[#This Row],[Retail_KES]]/100,0)*100-1,
 ROUNDUP(Table1[[#This Row],[Retail_KES]]/10,0)*10-0.01))))</f>
        <v/>
      </c>
      <c r="N11" s="70">
        <f>IFERROR(Table1[[#This Row],[Pychological  Pricing]]/FX_USD_KES,"")</f>
        <v/>
      </c>
      <c r="O11"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1" s="70">
        <f>IFERROR(Table1[[#This Row],[Wholesale_KES]]/FX_USD_KES,"")</f>
        <v/>
      </c>
      <c r="Q11"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1" s="70">
        <f>IFERROR(Table1[[#This Row],[Corporate_KES]]/FX_USD_KES,"")</f>
        <v/>
      </c>
      <c r="S11"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1" s="70">
        <f>IFERROR(Table1[[#This Row],[Influencer_KES]]/FX_USD_KES,"")</f>
        <v/>
      </c>
      <c r="U11" s="52" t="n">
        <v>58</v>
      </c>
      <c r="V11" s="70">
        <f>IF(NOT(ISNUMBER(Table1[[#This Row],[Pychological  Pricing]])),"",Table1[[#This Row],[Quantity]]*Table1[[#This Row],[Pychological  Pricing]])</f>
        <v/>
      </c>
      <c r="X11" s="55" t="inlineStr">
        <is>
          <t>Retail_KES = Cost_KES x MULT_RETAIL  (derived on GUARDRAILS — do not type)</t>
        </is>
      </c>
      <c r="Y11" s="56">
        <f>MULT_RETAIL</f>
        <v/>
      </c>
      <c r="Z11" s="56" t="n">
        <v>1.45</v>
      </c>
      <c r="AA11" s="2" t="n"/>
      <c r="AB11" s="2" t="n"/>
      <c r="AC11" s="2" t="n"/>
      <c r="AD11" s="87" t="n"/>
      <c r="AE11" s="3" t="n"/>
    </row>
    <row r="12" ht="70.2" customHeight="1" thickTop="1">
      <c r="A12" s="70" t="inlineStr">
        <is>
          <t>Home &amp; Utility</t>
        </is>
      </c>
      <c r="B12" s="70" t="inlineStr">
        <is>
          <t>consumables</t>
        </is>
      </c>
      <c r="C12" s="69" t="inlineStr">
        <is>
          <t>pump filter cartridge
BG-F04A</t>
        </is>
      </c>
      <c r="D12" s="82" t="inlineStr">
        <is>
          <t>*Bacterial removal rate 99.999%
*Virus removal rate 99.9%
*Initial removal rate of heavy metals: 99%</t>
        </is>
      </c>
      <c r="E12" s="70" t="n"/>
      <c r="F12" s="70" t="inlineStr">
        <is>
          <t>Cartridge – pump</t>
        </is>
      </c>
      <c r="G12" s="83" t="inlineStr">
        <is>
          <t>Dispenser Filter</t>
        </is>
      </c>
      <c r="H12" s="3" t="inlineStr">
        <is>
          <t>UC-HOU-DF-007</t>
        </is>
      </c>
      <c r="I12" s="79" t="n">
        <v>4.5</v>
      </c>
      <c r="J12" s="70" t="n">
        <v>7</v>
      </c>
      <c r="K12" s="70">
        <f>IF(NOT(ISNUMBER(Table1[[#This Row],[Landing Cost]])),"",Table1[[#This Row],[Landing Cost]]*FX_USD_KES)</f>
        <v/>
      </c>
      <c r="L12" s="70">
        <f>IF(NOT(ISNUMBER(Table1[[#This Row],[Cost_KES]])),"",Table1[[#This Row],[Cost_KES]]*MULT_RETAIL_CORE)</f>
        <v/>
      </c>
      <c r="M12" s="71">
        <f>IF(NOT(ISNUMBER(Table1[[#This Row],[Retail_KES]])),"",IF(Table1[[#This Row],[Retail_KES]]&lt;=0,"",IF(Table1[[#This Row],[Retail_KES]]&gt;=10000, ROUNDUP(Table1[[#This Row],[Retail_KES]]/1000,0)*1000-10,
 IF(Table1[[#This Row],[Retail_KES]]&gt;=3000, ROUNDUP(Table1[[#This Row],[Retail_KES]]/100,0)*100-1,
 ROUNDUP(Table1[[#This Row],[Retail_KES]]/10,0)*10-0.01))))</f>
        <v/>
      </c>
      <c r="N12" s="70">
        <f>IFERROR(Table1[[#This Row],[Pychological  Pricing]]/FX_USD_KES,"")</f>
        <v/>
      </c>
      <c r="O12"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2" s="70">
        <f>IFERROR(Table1[[#This Row],[Wholesale_KES]]/FX_USD_KES,"")</f>
        <v/>
      </c>
      <c r="Q12"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2" s="70">
        <f>IFERROR(Table1[[#This Row],[Corporate_KES]]/FX_USD_KES,"")</f>
        <v/>
      </c>
      <c r="S12"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2" s="70">
        <f>IFERROR(Table1[[#This Row],[Influencer_KES]]/FX_USD_KES,"")</f>
        <v/>
      </c>
      <c r="U12" s="52" t="n">
        <v>41</v>
      </c>
      <c r="V12" s="70">
        <f>IF(NOT(ISNUMBER(Table1[[#This Row],[Pychological  Pricing]])),"",Table1[[#This Row],[Quantity]]*Table1[[#This Row],[Pychological  Pricing]])</f>
        <v/>
      </c>
      <c r="X12" s="57" t="inlineStr">
        <is>
          <t>Wholesale_KES = Retail_KES × 0.8  (or Cost_KES × 1.2)</t>
        </is>
      </c>
      <c r="Y12" s="58">
        <f>TIER_WHOLESALE</f>
        <v/>
      </c>
      <c r="Z12" s="59" t="n">
        <v>0.5</v>
      </c>
      <c r="AA12" s="2" t="n"/>
      <c r="AB12" s="2" t="n"/>
      <c r="AC12" s="2" t="n"/>
      <c r="AD12" s="86" t="n"/>
      <c r="AE12" s="3" t="n"/>
    </row>
    <row r="13" ht="239.4" customHeight="1">
      <c r="A13" s="70" t="inlineStr">
        <is>
          <t>Bottles &amp; On-the-Go</t>
        </is>
      </c>
      <c r="B13" s="70" t="inlineStr">
        <is>
          <t>Core</t>
        </is>
      </c>
      <c r="C13" s="69" t="inlineStr">
        <is>
          <t>740ml stainless steel water filter bottle
BG-B01</t>
        </is>
      </c>
      <c r="D13" s="82" t="inlineStr">
        <is>
          <t>Product name：740ML stainless steel bottle with filter straw
Model NO : B01 
Main material: Food-grade 304 Stainless Steel 
Color: Blue, gray, pink, dark green (other colors available)
Filter material: Ahlstrom
Rated filtering water : 150L
Function : Filter wild water sources such as river water, lake water, and spring water to become drinkable water
Product size : 78*261mm
Package including: filter*1, manual *1, color box *1     
Carton: 610*270*305mm/21pcs/11.5KG                                              Suggestion change filter time : 2-3 months
Certification : SGS/ROHS/FDA</t>
        </is>
      </c>
      <c r="E13" s="69" t="inlineStr">
        <is>
          <t xml:space="preserve">Bacterial removal rate 99.999%
Virus removal rate 99.9%
Initial removal rate of heavy metals: 99%
lifetime: 150L
Certification : SGS/ROHS/FDA   </t>
        </is>
      </c>
      <c r="F13" s="70" t="inlineStr">
        <is>
          <t>740ml stainless bottle with filter straw</t>
        </is>
      </c>
      <c r="G13" s="83" t="inlineStr">
        <is>
          <t>Hydra Flux</t>
        </is>
      </c>
      <c r="H13" s="3" t="inlineStr">
        <is>
          <t>UC-BOG-SSB-008</t>
        </is>
      </c>
      <c r="I13" s="79" t="n">
        <v>10</v>
      </c>
      <c r="J13" s="70" t="n">
        <v>16</v>
      </c>
      <c r="K13" s="70">
        <f>IF(NOT(ISNUMBER(Table1[[#This Row],[Landing Cost]])),"",Table1[[#This Row],[Landing Cost]]*FX_USD_KES)</f>
        <v/>
      </c>
      <c r="L13" s="70">
        <f>IF(NOT(ISNUMBER(Table1[[#This Row],[Cost_KES]])),"",Table1[[#This Row],[Cost_KES]]*MULT_RETAIL_CORE)</f>
        <v/>
      </c>
      <c r="M13" s="71">
        <f>IF(NOT(ISNUMBER(Table1[[#This Row],[Retail_KES]])),"",IF(Table1[[#This Row],[Retail_KES]]&lt;=0,"",IF(Table1[[#This Row],[Retail_KES]]&gt;=10000, ROUNDUP(Table1[[#This Row],[Retail_KES]]/1000,0)*1000-10,
 IF(Table1[[#This Row],[Retail_KES]]&gt;=3000, ROUNDUP(Table1[[#This Row],[Retail_KES]]/100,0)*100-1,
 ROUNDUP(Table1[[#This Row],[Retail_KES]]/10,0)*10-0.01))))</f>
        <v/>
      </c>
      <c r="N13" s="70">
        <f>IFERROR(Table1[[#This Row],[Pychological  Pricing]]/FX_USD_KES,"")</f>
        <v/>
      </c>
      <c r="O13"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3" s="70">
        <f>IFERROR(Table1[[#This Row],[Wholesale_KES]]/FX_USD_KES,"")</f>
        <v/>
      </c>
      <c r="Q13"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3" s="70">
        <f>IFERROR(Table1[[#This Row],[Corporate_KES]]/FX_USD_KES,"")</f>
        <v/>
      </c>
      <c r="S13"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3" s="70">
        <f>IFERROR(Table1[[#This Row],[Influencer_KES]]/FX_USD_KES,"")</f>
        <v/>
      </c>
      <c r="U13" s="52" t="n">
        <v>21</v>
      </c>
      <c r="V13" s="70">
        <f>IF(NOT(ISNUMBER(Table1[[#This Row],[Pychological  Pricing]])),"",Table1[[#This Row],[Quantity]]*Table1[[#This Row],[Pychological  Pricing]])</f>
        <v/>
      </c>
      <c r="X13" s="60" t="inlineStr">
        <is>
          <t>Corporate_KES = Retail_KES × 0.85  (or Cost_KES × 1.35)</t>
        </is>
      </c>
      <c r="Y13" s="61">
        <f>TIER_CORPORATE</f>
        <v/>
      </c>
      <c r="Z13" s="61" t="n">
        <v>0.6</v>
      </c>
      <c r="AA13" s="2" t="n"/>
      <c r="AB13" s="2" t="n"/>
      <c r="AC13" s="2" t="n"/>
      <c r="AD13" s="16" t="inlineStr">
        <is>
          <t>1000ml tritan water filter bottle
  BG-B09</t>
        </is>
      </c>
      <c r="AE13" s="3" t="n"/>
    </row>
    <row r="14" ht="187.2" customHeight="1">
      <c r="A14" s="70" t="inlineStr">
        <is>
          <t>Bottles &amp; On-the-Go</t>
        </is>
      </c>
      <c r="B14" s="70" t="inlineStr">
        <is>
          <t>Core</t>
        </is>
      </c>
      <c r="C14" s="69" t="inlineStr">
        <is>
          <t>769ml tritan water filter bottle
BG-B02</t>
        </is>
      </c>
      <c r="D14" s="82" t="inlineStr">
        <is>
          <t>Product name：769ML Tritan bottle with filter straw
Model NO : B02
Main material: Food-grade Tritan plastic (BPA free)
Color: Blue, gray, pink (other colors available)
Filter material: Ahlstrom
Rated filtering water : 150L
Function : Filter wild water sources such as river water, lake water, and spring water to become drinkable water
Product size : 78*261mm
Package including: filter*1, manual *1, color box *1 
Carton: 545*450*325mm/30pcs/10.5kg
Suggestion change filter time : 2-3 months                        Certification : SGS/ROHS/FDA</t>
        </is>
      </c>
      <c r="E14" s="69" t="inlineStr">
        <is>
          <t>Certification : SGS/ROHS/FDA
Bacterial removal rate 99.999%
Virus removal rate 99.9%
Initial removal rate of heavy metals: 99%
lifetime: 150L</t>
        </is>
      </c>
      <c r="F14" s="70" t="inlineStr">
        <is>
          <t>769ml Tritan bottle with filter straw</t>
        </is>
      </c>
      <c r="G14" s="83" t="inlineStr">
        <is>
          <t>Truva Go</t>
        </is>
      </c>
      <c r="H14" s="3" t="inlineStr">
        <is>
          <t>UC-BOG-TRB-009</t>
        </is>
      </c>
      <c r="I14" s="79" t="n">
        <v>6.8</v>
      </c>
      <c r="J14" s="70" t="n">
        <v>11.5</v>
      </c>
      <c r="K14" s="70">
        <f>IF(NOT(ISNUMBER(Table1[[#This Row],[Landing Cost]])),"",Table1[[#This Row],[Landing Cost]]*FX_USD_KES)</f>
        <v/>
      </c>
      <c r="L14" s="70">
        <f>IF(NOT(ISNUMBER(Table1[[#This Row],[Cost_KES]])),"",Table1[[#This Row],[Cost_KES]]*MULT_RETAIL_CORE)</f>
        <v/>
      </c>
      <c r="M14" s="71">
        <f>IF(NOT(ISNUMBER(Table1[[#This Row],[Retail_KES]])),"",IF(Table1[[#This Row],[Retail_KES]]&lt;=0,"",IF(Table1[[#This Row],[Retail_KES]]&gt;=10000, ROUNDUP(Table1[[#This Row],[Retail_KES]]/1000,0)*1000-10,
 IF(Table1[[#This Row],[Retail_KES]]&gt;=3000, ROUNDUP(Table1[[#This Row],[Retail_KES]]/100,0)*100-1,
 ROUNDUP(Table1[[#This Row],[Retail_KES]]/10,0)*10-0.01))))</f>
        <v/>
      </c>
      <c r="N14" s="70">
        <f>IFERROR(Table1[[#This Row],[Pychological  Pricing]]/FX_USD_KES,"")</f>
        <v/>
      </c>
      <c r="O14"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4" s="70">
        <f>IFERROR(Table1[[#This Row],[Wholesale_KES]]/FX_USD_KES,"")</f>
        <v/>
      </c>
      <c r="Q14"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4" s="70">
        <f>IFERROR(Table1[[#This Row],[Corporate_KES]]/FX_USD_KES,"")</f>
        <v/>
      </c>
      <c r="S14"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4" s="70">
        <f>IFERROR(Table1[[#This Row],[Influencer_KES]]/FX_USD_KES,"")</f>
        <v/>
      </c>
      <c r="U14" s="52" t="n">
        <v>37</v>
      </c>
      <c r="V14" s="70">
        <f>IF(NOT(ISNUMBER(Table1[[#This Row],[Pychological  Pricing]])),"",Table1[[#This Row],[Quantity]]*Table1[[#This Row],[Pychological  Pricing]])</f>
        <v/>
      </c>
      <c r="X14" s="62" t="inlineStr">
        <is>
          <t>Influencers</t>
        </is>
      </c>
      <c r="Y14" s="63">
        <f>TIER_INFLUENCER</f>
        <v/>
      </c>
      <c r="Z14" s="64" t="n">
        <v>0.65</v>
      </c>
      <c r="AA14" s="2" t="n"/>
      <c r="AB14" s="2" t="n"/>
      <c r="AC14" s="2" t="n"/>
      <c r="AD14" s="86" t="n"/>
      <c r="AE14" s="3" t="n"/>
    </row>
    <row r="15" ht="158.4" customHeight="1">
      <c r="A15" s="70" t="inlineStr">
        <is>
          <t>Bottles &amp; On-the-Go</t>
        </is>
      </c>
      <c r="B15" s="70" t="inlineStr">
        <is>
          <t>Core</t>
        </is>
      </c>
      <c r="C15" s="69" t="inlineStr">
        <is>
          <t>500ml tritan water filter bottle(black)
   BG-B06</t>
        </is>
      </c>
      <c r="D15" s="82" t="inlineStr">
        <is>
          <t>Product name：500ML Tritan bottle with filter straw
Model NO : B06
Main material: Food-grade Tritan plastic (BPA free)
Color: Black, green (other colors available)
Filter material: Ahlstrom
Rated filtering water : 150L
Function : Filter wild water sources such as river water, lake water, and spring water to become drinkable water
Product size : 85*210mm
Package including: filter*1, manual *1, color box *1 
Suggestion change filter time : 2-3</t>
        </is>
      </c>
      <c r="E15" s="69" t="inlineStr">
        <is>
          <t>Certification : SGS/ROHS    Bacterial removal rate 99.999%
Virus removal rate 99.9%
Initial removal rate of heavy metals: 99%
lifetime: 150L</t>
        </is>
      </c>
      <c r="F15" s="70" t="inlineStr">
        <is>
          <t>500ml Tritan bottle with filter straw</t>
        </is>
      </c>
      <c r="G15" s="83" t="inlineStr">
        <is>
          <t>Viva Drop</t>
        </is>
      </c>
      <c r="H15" s="3" t="inlineStr">
        <is>
          <t>UC-BOG-TRB-010</t>
        </is>
      </c>
      <c r="I15" s="79" t="n">
        <v>6</v>
      </c>
      <c r="J15" s="70" t="n">
        <v>8.5</v>
      </c>
      <c r="K15" s="70">
        <f>IF(NOT(ISNUMBER(Table1[[#This Row],[Landing Cost]])),"",Table1[[#This Row],[Landing Cost]]*FX_USD_KES)</f>
        <v/>
      </c>
      <c r="L15" s="70">
        <f>IF(NOT(ISNUMBER(Table1[[#This Row],[Cost_KES]])),"",Table1[[#This Row],[Cost_KES]]*MULT_RETAIL_CORE)</f>
        <v/>
      </c>
      <c r="M15" s="71">
        <f>IF(NOT(ISNUMBER(Table1[[#This Row],[Retail_KES]])),"",IF(Table1[[#This Row],[Retail_KES]]&lt;=0,"",IF(Table1[[#This Row],[Retail_KES]]&gt;=10000, ROUNDUP(Table1[[#This Row],[Retail_KES]]/1000,0)*1000-10,
 IF(Table1[[#This Row],[Retail_KES]]&gt;=3000, ROUNDUP(Table1[[#This Row],[Retail_KES]]/100,0)*100-1,
 ROUNDUP(Table1[[#This Row],[Retail_KES]]/10,0)*10-0.01))))</f>
        <v/>
      </c>
      <c r="N15" s="70">
        <f>IFERROR(Table1[[#This Row],[Pychological  Pricing]]/FX_USD_KES,"")</f>
        <v/>
      </c>
      <c r="O15"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5" s="70">
        <f>IFERROR(Table1[[#This Row],[Wholesale_KES]]/FX_USD_KES,"")</f>
        <v/>
      </c>
      <c r="Q15"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5" s="70">
        <f>IFERROR(Table1[[#This Row],[Corporate_KES]]/FX_USD_KES,"")</f>
        <v/>
      </c>
      <c r="S15"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5" s="70">
        <f>IFERROR(Table1[[#This Row],[Influencer_KES]]/FX_USD_KES,"")</f>
        <v/>
      </c>
      <c r="U15" s="52" t="n">
        <v>70</v>
      </c>
      <c r="V15" s="70">
        <f>IF(NOT(ISNUMBER(Table1[[#This Row],[Pychological  Pricing]])),"",Table1[[#This Row],[Quantity]]*Table1[[#This Row],[Pychological  Pricing]])</f>
        <v/>
      </c>
      <c r="AA15" s="2" t="n"/>
      <c r="AB15" s="2" t="n"/>
      <c r="AC15" s="2" t="n"/>
      <c r="AD15" s="16" t="inlineStr">
        <is>
          <t>350ml collapsible water filter bottle
BG-B04</t>
        </is>
      </c>
      <c r="AE15" s="3" t="n"/>
    </row>
    <row r="16" ht="87.59999999999999" customHeight="1">
      <c r="A16" s="70" t="inlineStr">
        <is>
          <t>Bottles &amp; On-the-Go</t>
        </is>
      </c>
      <c r="B16" s="70" t="inlineStr">
        <is>
          <t>Core</t>
        </is>
      </c>
      <c r="C16" s="69" t="inlineStr">
        <is>
          <t>1000ml tritan water filter bottle
  BG-B09</t>
        </is>
      </c>
      <c r="D16" s="82" t="inlineStr">
        <is>
          <t>*Bacterial removal rate 99.999%
*Virus removal rate 99.9%
*Initial removal rate of heavy metals: 99%
*lifetime: 150L
*575*465*440mm/40pcs/14KG</t>
        </is>
      </c>
      <c r="E16" s="69" t="inlineStr">
        <is>
          <t>Certification : SGS/ROHS    Bacterial removal rate 99.999%
Virus removal rate 99.9%
Initial removal rate of heavy metals: 99%
lifetime: 150L</t>
        </is>
      </c>
      <c r="F16" s="70" t="inlineStr">
        <is>
          <t>1200ml Tritan bottle with filter straw</t>
        </is>
      </c>
      <c r="G16" s="83" t="inlineStr">
        <is>
          <t>Gym Buddy</t>
        </is>
      </c>
      <c r="H16" s="3" t="inlineStr">
        <is>
          <t>UC-BOG-TRB-011</t>
        </is>
      </c>
      <c r="I16" s="79" t="n">
        <v>8.5</v>
      </c>
      <c r="J16" s="70" t="n">
        <v>13</v>
      </c>
      <c r="K16" s="70">
        <f>IF(NOT(ISNUMBER(Table1[[#This Row],[Landing Cost]])),"",Table1[[#This Row],[Landing Cost]]*FX_USD_KES)</f>
        <v/>
      </c>
      <c r="L16" s="70">
        <f>IF(NOT(ISNUMBER(Table1[[#This Row],[Cost_KES]])),"",Table1[[#This Row],[Cost_KES]]*MULT_RETAIL_CORE)</f>
        <v/>
      </c>
      <c r="M16" s="71">
        <f>IF(NOT(ISNUMBER(Table1[[#This Row],[Retail_KES]])),"",IF(Table1[[#This Row],[Retail_KES]]&lt;=0,"",IF(Table1[[#This Row],[Retail_KES]]&gt;=10000, ROUNDUP(Table1[[#This Row],[Retail_KES]]/1000,0)*1000-10,
 IF(Table1[[#This Row],[Retail_KES]]&gt;=3000, ROUNDUP(Table1[[#This Row],[Retail_KES]]/100,0)*100-1,
 ROUNDUP(Table1[[#This Row],[Retail_KES]]/10,0)*10-0.01))))</f>
        <v/>
      </c>
      <c r="N16" s="70">
        <f>IFERROR(Table1[[#This Row],[Pychological  Pricing]]/FX_USD_KES,"")</f>
        <v/>
      </c>
      <c r="O16"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6" s="70">
        <f>IFERROR(Table1[[#This Row],[Wholesale_KES]]/FX_USD_KES,"")</f>
        <v/>
      </c>
      <c r="Q16"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6" s="70">
        <f>IFERROR(Table1[[#This Row],[Corporate_KES]]/FX_USD_KES,"")</f>
        <v/>
      </c>
      <c r="S16"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6" s="70">
        <f>IFERROR(Table1[[#This Row],[Influencer_KES]]/FX_USD_KES,"")</f>
        <v/>
      </c>
      <c r="U16" s="52" t="n">
        <v>24</v>
      </c>
      <c r="V16" s="70">
        <f>IF(NOT(ISNUMBER(Table1[[#This Row],[Pychological  Pricing]])),"",Table1[[#This Row],[Quantity]]*Table1[[#This Row],[Pychological  Pricing]])</f>
        <v/>
      </c>
      <c r="AA16" s="2" t="n"/>
      <c r="AB16" s="2" t="n"/>
      <c r="AC16" s="2" t="n"/>
      <c r="AD16" s="16" t="inlineStr">
        <is>
          <t>1000ml squeeze water filter bottle
BG-B07</t>
        </is>
      </c>
      <c r="AE16" s="3" t="n"/>
    </row>
    <row r="17" ht="167.4" customHeight="1">
      <c r="A17" s="70" t="inlineStr">
        <is>
          <t>Bottles &amp; On-the-Go</t>
        </is>
      </c>
      <c r="B17" s="70" t="inlineStr">
        <is>
          <t>Core</t>
        </is>
      </c>
      <c r="C17" s="69" t="inlineStr">
        <is>
          <t>350ml collapsible water filter bottle
BG-B04</t>
        </is>
      </c>
      <c r="D17" s="76" t="inlineStr">
        <is>
          <t>Product name：350mL Foldable water bottle with filter
Model NO : B04
Main material: Food-grade TPU
Color: Blue, green, pink (other colors available)
Filter material: Ahlstrom
Rated filtering water : 100L
Function : Filter wild water sources such as river water, lake water, and spring water to become drinkable water
Product size : 70*260mm
Package including: filter*1, manual *1, color box *1 
Suggestion change filter time : 2-3 months
Carton Capacity:400*350*375mm  268g  40pcs</t>
        </is>
      </c>
      <c r="E17" s="69" t="inlineStr">
        <is>
          <t>Certification : SGS/ROHS    Bacterial removal rate 99.999%
Virus removal rate 99.9%
Initial removal rate of heavy metals: 99%
lifetime: 150L</t>
        </is>
      </c>
      <c r="F17" s="70" t="inlineStr">
        <is>
          <t>350ml foldable bottle with filter</t>
        </is>
      </c>
      <c r="G17" s="83" t="inlineStr">
        <is>
          <t>Timbo</t>
        </is>
      </c>
      <c r="H17" s="3" t="inlineStr">
        <is>
          <t>UC-BOG-FLB-012</t>
        </is>
      </c>
      <c r="I17" s="79" t="n">
        <v>6</v>
      </c>
      <c r="J17" s="70" t="n">
        <v>5</v>
      </c>
      <c r="K17" s="70">
        <f>IF(NOT(ISNUMBER(Table1[[#This Row],[Landing Cost]])),"",Table1[[#This Row],[Landing Cost]]*FX_USD_KES)</f>
        <v/>
      </c>
      <c r="L17" s="70">
        <f>IF(NOT(ISNUMBER(Table1[[#This Row],[Cost_KES]])),"",Table1[[#This Row],[Cost_KES]]*MULT_RETAIL_CORE)</f>
        <v/>
      </c>
      <c r="M17" s="71">
        <f>IF(NOT(ISNUMBER(Table1[[#This Row],[Retail_KES]])),"",IF(Table1[[#This Row],[Retail_KES]]&lt;=0,"",IF(Table1[[#This Row],[Retail_KES]]&gt;=10000, ROUNDUP(Table1[[#This Row],[Retail_KES]]/1000,0)*1000-10,
 IF(Table1[[#This Row],[Retail_KES]]&gt;=3000, ROUNDUP(Table1[[#This Row],[Retail_KES]]/100,0)*100-1,
 ROUNDUP(Table1[[#This Row],[Retail_KES]]/10,0)*10-0.01))))</f>
        <v/>
      </c>
      <c r="N17" s="70">
        <f>IFERROR(Table1[[#This Row],[Pychological  Pricing]]/FX_USD_KES,"")</f>
        <v/>
      </c>
      <c r="O17"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7" s="70">
        <f>IFERROR(Table1[[#This Row],[Wholesale_KES]]/FX_USD_KES,"")</f>
        <v/>
      </c>
      <c r="Q17"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7" s="70">
        <f>IFERROR(Table1[[#This Row],[Corporate_KES]]/FX_USD_KES,"")</f>
        <v/>
      </c>
      <c r="S17"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7" s="70">
        <f>IFERROR(Table1[[#This Row],[Influencer_KES]]/FX_USD_KES,"")</f>
        <v/>
      </c>
      <c r="U17" s="52" t="n">
        <v>3</v>
      </c>
      <c r="V17" s="70">
        <f>IF(NOT(ISNUMBER(Table1[[#This Row],[Pychological  Pricing]])),"",Table1[[#This Row],[Quantity]]*Table1[[#This Row],[Pychological  Pricing]])</f>
        <v/>
      </c>
      <c r="X17" s="54" t="inlineStr">
        <is>
          <t>Pricing Category</t>
        </is>
      </c>
      <c r="AA17" s="2" t="n"/>
      <c r="AB17" s="2" t="n"/>
      <c r="AC17" s="2" t="n"/>
      <c r="AD17" s="86" t="n"/>
      <c r="AE17" s="3" t="n"/>
    </row>
    <row r="18" ht="84" customHeight="1">
      <c r="A18" s="70" t="inlineStr">
        <is>
          <t>Bottles &amp; On-the-Go</t>
        </is>
      </c>
      <c r="B18" s="70" t="inlineStr">
        <is>
          <t>Core</t>
        </is>
      </c>
      <c r="C18" s="69" t="inlineStr">
        <is>
          <t xml:space="preserve"> Squeeze 500ml Cycling Bottle.</t>
        </is>
      </c>
      <c r="D18" s="82" t="inlineStr">
        <is>
          <t>Bacterial removal rate 99.999%
Virus removal rate 99.9%
Initial removal rate of heavy metals: 99%
lifetime: 150L
Carton Capacity: 575*465*440mm/40pcs/14KG</t>
        </is>
      </c>
      <c r="E18" s="69" t="inlineStr">
        <is>
          <t>Certification : SGS/ROHS    Bacterial removal rate 99.999%
Virus removal rate 99.9%
Initial removal rate of heavy metals: 99%
lifetime: 150L</t>
        </is>
      </c>
      <c r="F18" s="70" t="inlineStr">
        <is>
          <t>600ml squeeze bottle with filter</t>
        </is>
      </c>
      <c r="G18" s="83" t="inlineStr">
        <is>
          <t>Breeze</t>
        </is>
      </c>
      <c r="H18" s="3" t="inlineStr">
        <is>
          <t>UC-BOG-SQB-013</t>
        </is>
      </c>
      <c r="I18" s="79" t="n">
        <v>6.5</v>
      </c>
      <c r="J18" s="70" t="n">
        <v>6</v>
      </c>
      <c r="K18" s="70">
        <f>IF(NOT(ISNUMBER(Table1[[#This Row],[Landing Cost]])),"",Table1[[#This Row],[Landing Cost]]*FX_USD_KES)</f>
        <v/>
      </c>
      <c r="L18" s="70">
        <f>IF(NOT(ISNUMBER(Table1[[#This Row],[Cost_KES]])),"",Table1[[#This Row],[Cost_KES]]*MULT_RETAIL_CORE)</f>
        <v/>
      </c>
      <c r="M18" s="71">
        <f>IF(NOT(ISNUMBER(Table1[[#This Row],[Retail_KES]])),"",IF(Table1[[#This Row],[Retail_KES]]&lt;=0,"",IF(Table1[[#This Row],[Retail_KES]]&gt;=10000, ROUNDUP(Table1[[#This Row],[Retail_KES]]/1000,0)*1000-10,
 IF(Table1[[#This Row],[Retail_KES]]&gt;=3000, ROUNDUP(Table1[[#This Row],[Retail_KES]]/100,0)*100-1,
 ROUNDUP(Table1[[#This Row],[Retail_KES]]/10,0)*10-0.01))))</f>
        <v/>
      </c>
      <c r="N18" s="70">
        <f>IFERROR(Table1[[#This Row],[Pychological  Pricing]]/FX_USD_KES,"")</f>
        <v/>
      </c>
      <c r="O18"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8" s="70">
        <f>IFERROR(Table1[[#This Row],[Wholesale_KES]]/FX_USD_KES,"")</f>
        <v/>
      </c>
      <c r="Q18"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8" s="70">
        <f>IFERROR(Table1[[#This Row],[Corporate_KES]]/FX_USD_KES,"")</f>
        <v/>
      </c>
      <c r="S18"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8" s="70">
        <f>IFERROR(Table1[[#This Row],[Influencer_KES]]/FX_USD_KES,"")</f>
        <v/>
      </c>
      <c r="U18" s="52" t="n">
        <v>0</v>
      </c>
      <c r="V18" s="70">
        <f>IF(NOT(ISNUMBER(Table1[[#This Row],[Pychological  Pricing]])),"",Table1[[#This Row],[Quantity]]*Table1[[#This Row],[Pychological  Pricing]])</f>
        <v/>
      </c>
      <c r="X18" s="42" t="inlineStr">
        <is>
          <t>Core</t>
        </is>
      </c>
      <c r="AA18" s="2" t="n"/>
      <c r="AB18" s="2" t="n"/>
      <c r="AC18" s="2" t="n"/>
      <c r="AD18" s="16" t="inlineStr">
        <is>
          <t>straw bottle's filters+squeeze bottle's actived fiber filter
BG-F06A</t>
        </is>
      </c>
      <c r="AE18" s="3" t="n"/>
    </row>
    <row r="19" ht="86.40000000000001" customHeight="1">
      <c r="A19" s="70" t="inlineStr">
        <is>
          <t>Bottles &amp; On-the-Go</t>
        </is>
      </c>
      <c r="B19" s="70" t="inlineStr">
        <is>
          <t>Core</t>
        </is>
      </c>
      <c r="C19" s="69" t="inlineStr">
        <is>
          <t>1000ml squeeze water filter bottle
BG-B07</t>
        </is>
      </c>
      <c r="D19" s="82" t="inlineStr">
        <is>
          <t>Bacterial removal rate 99.999%
Virus removal rate 99.9%
Initial removal rate of heavy metals: 99%
lifetime: 150L
Carton Capacity:545*450*335mm/30pcs/10.0KG</t>
        </is>
      </c>
      <c r="E19" s="69" t="inlineStr">
        <is>
          <t>Certification : SGS/ROHS    Bacterial removal rate 99.999%
Virus removal rate 99.9%
Initial removal rate of heavy metals: 99%
lifetime: 150L</t>
        </is>
      </c>
      <c r="F19" s="70" t="inlineStr">
        <is>
          <t>1000ml squeeze bottle with filter</t>
        </is>
      </c>
      <c r="G19" s="83" t="inlineStr">
        <is>
          <t>Flex</t>
        </is>
      </c>
      <c r="H19" s="3" t="inlineStr">
        <is>
          <t>UC-BOG-SQB-014</t>
        </is>
      </c>
      <c r="I19" s="79" t="n">
        <v>7</v>
      </c>
      <c r="J19" s="70" t="n">
        <v>6.95</v>
      </c>
      <c r="K19" s="70">
        <f>IF(NOT(ISNUMBER(Table1[[#This Row],[Landing Cost]])),"",Table1[[#This Row],[Landing Cost]]*FX_USD_KES)</f>
        <v/>
      </c>
      <c r="L19" s="70">
        <f>IF(NOT(ISNUMBER(Table1[[#This Row],[Cost_KES]])),"",Table1[[#This Row],[Cost_KES]]*MULT_RETAIL_CORE)</f>
        <v/>
      </c>
      <c r="M19" s="71">
        <f>IF(NOT(ISNUMBER(Table1[[#This Row],[Retail_KES]])),"",IF(Table1[[#This Row],[Retail_KES]]&lt;=0,"",IF(Table1[[#This Row],[Retail_KES]]&gt;=10000, ROUNDUP(Table1[[#This Row],[Retail_KES]]/1000,0)*1000-10,
 IF(Table1[[#This Row],[Retail_KES]]&gt;=3000, ROUNDUP(Table1[[#This Row],[Retail_KES]]/100,0)*100-1,
 ROUNDUP(Table1[[#This Row],[Retail_KES]]/10,0)*10-0.01))))</f>
        <v/>
      </c>
      <c r="N19" s="70">
        <f>IFERROR(Table1[[#This Row],[Pychological  Pricing]]/FX_USD_KES,"")</f>
        <v/>
      </c>
      <c r="O19"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19" s="70">
        <f>IFERROR(Table1[[#This Row],[Wholesale_KES]]/FX_USD_KES,"")</f>
        <v/>
      </c>
      <c r="Q19"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19" s="70">
        <f>IFERROR(Table1[[#This Row],[Corporate_KES]]/FX_USD_KES,"")</f>
        <v/>
      </c>
      <c r="S19"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19" s="70">
        <f>IFERROR(Table1[[#This Row],[Influencer_KES]]/FX_USD_KES,"")</f>
        <v/>
      </c>
      <c r="U19" s="52" t="n">
        <v>76</v>
      </c>
      <c r="V19" s="70">
        <f>IF(NOT(ISNUMBER(Table1[[#This Row],[Pychological  Pricing]])),"",Table1[[#This Row],[Quantity]]*Table1[[#This Row],[Pychological  Pricing]])</f>
        <v/>
      </c>
      <c r="X19" s="42" t="inlineStr">
        <is>
          <t>consumables</t>
        </is>
      </c>
      <c r="AA19" s="2" t="n"/>
      <c r="AB19" s="2" t="n"/>
      <c r="AC19" s="2" t="n"/>
      <c r="AD19" s="86" t="n"/>
      <c r="AE19" s="3" t="n"/>
    </row>
    <row r="20" ht="172.8" customHeight="1">
      <c r="A20" s="70" t="inlineStr">
        <is>
          <t>Bottles &amp; On-the-Go</t>
        </is>
      </c>
      <c r="B20" s="70" t="inlineStr">
        <is>
          <t>Core</t>
        </is>
      </c>
      <c r="C20" s="69" t="inlineStr">
        <is>
          <t>B08-1000ml</t>
        </is>
      </c>
      <c r="D20" s="82" t="inlineStr">
        <is>
          <t>Product name：TPU water bag with Filter
Model NO : B08-1000ml
Main material: Food-grade TPU
Color: Gray (other colors available)
Filter material: Ahlstrom/Carbon fiber
Rated filtering water : 200L
Function : Filter wild water sources such as river water, lake water, and spring water to become drinkable water
Product size : 90*100*275mm
Package including: filter*1, manual *1, color box *1 
Suggestion change filter time : 3-6 months
Certification : SGS/ROHS</t>
        </is>
      </c>
      <c r="E20" s="69" t="inlineStr">
        <is>
          <t>Certification : SGS/ROHS    Bacterial removal rate 99.999%
Virus removal rate 99.9%
Initial removal rate of heavy metals: 99%
lifetime: 150L</t>
        </is>
      </c>
      <c r="F20" s="70" t="inlineStr">
        <is>
          <t>TPU Foldable Filter Bag</t>
        </is>
      </c>
      <c r="G20" s="83" t="inlineStr">
        <is>
          <t>Ultra Fold</t>
        </is>
      </c>
      <c r="H20" s="80" t="inlineStr">
        <is>
          <t>UC-BOG-UF-100</t>
        </is>
      </c>
      <c r="I20" s="80" t="n">
        <v>6</v>
      </c>
      <c r="J20" s="70" t="n"/>
      <c r="K20" s="70">
        <f>IF(NOT(ISNUMBER(Table1[[#This Row],[Landing Cost]])),"",Table1[[#This Row],[Landing Cost]]*FX_USD_KES)</f>
        <v/>
      </c>
      <c r="L20" s="70">
        <f>IF(NOT(ISNUMBER(Table1[[#This Row],[Cost_KES]])),"",Table1[[#This Row],[Cost_KES]]*MULT_RETAIL_CORE)</f>
        <v/>
      </c>
      <c r="M20" s="71">
        <f>IF(NOT(ISNUMBER(Table1[[#This Row],[Retail_KES]])),"",IF(Table1[[#This Row],[Retail_KES]]&lt;=0,"",IF(Table1[[#This Row],[Retail_KES]]&gt;=10000, ROUNDUP(Table1[[#This Row],[Retail_KES]]/1000,0)*1000-10,
 IF(Table1[[#This Row],[Retail_KES]]&gt;=3000, ROUNDUP(Table1[[#This Row],[Retail_KES]]/100,0)*100-1,
 ROUNDUP(Table1[[#This Row],[Retail_KES]]/10,0)*10-0.01))))</f>
        <v/>
      </c>
      <c r="N20" s="70">
        <f>IFERROR(Table1[[#This Row],[Pychological  Pricing]]/FX_USD_KES,"")</f>
        <v/>
      </c>
      <c r="O20"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0" s="70">
        <f>IFERROR(Table1[[#This Row],[Wholesale_KES]]/FX_USD_KES,"")</f>
        <v/>
      </c>
      <c r="Q20"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0" s="70">
        <f>IFERROR(Table1[[#This Row],[Corporate_KES]]/FX_USD_KES,"")</f>
        <v/>
      </c>
      <c r="S20"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0" s="70">
        <f>IFERROR(Table1[[#This Row],[Influencer_KES]]/FX_USD_KES,"")</f>
        <v/>
      </c>
      <c r="U20" s="52" t="n"/>
      <c r="V20" s="70">
        <f>IF(NOT(ISNUMBER(Table1[[#This Row],[Pychological  Pricing]])),"",Table1[[#This Row],[Quantity]]*Table1[[#This Row],[Pychological  Pricing]])</f>
        <v/>
      </c>
      <c r="AA20" s="2" t="n"/>
      <c r="AB20" s="2" t="n"/>
      <c r="AC20" s="2" t="n"/>
      <c r="AD20" s="27" t="n"/>
      <c r="AE20" s="3" t="n"/>
    </row>
    <row r="21" ht="86.40000000000001" customHeight="1">
      <c r="A21" s="70" t="inlineStr">
        <is>
          <t>Bottles &amp; On-the-Go</t>
        </is>
      </c>
      <c r="B21" s="70" t="inlineStr">
        <is>
          <t>consumables</t>
        </is>
      </c>
      <c r="C21" s="69" t="inlineStr">
        <is>
          <t>straw bottle's filters+squeeze bottle's actived fiber filter
BG-F06A</t>
        </is>
      </c>
      <c r="D21" s="82" t="inlineStr">
        <is>
          <t>For squeeze and  telescopic water filter bottle  replacement   Carton Capacity: 320*290*140mm/120pcs/2.25KG
425*225*290mm/300pcs/5KG</t>
        </is>
      </c>
      <c r="E21" s="69" t="inlineStr">
        <is>
          <t>Certification : SGS/ROHS    Bacterial removal rate 99.999%
Virus removal rate 99.9%
Initial removal rate of heavy metals: 99%
lifetime: 150L</t>
        </is>
      </c>
      <c r="F21" s="70" t="inlineStr">
        <is>
          <t>Cartridge – squeeze Ahlstrom</t>
        </is>
      </c>
      <c r="G21" s="83" t="inlineStr">
        <is>
          <t>Filter Squeeze Ahlstrom</t>
        </is>
      </c>
      <c r="H21" s="3" t="inlineStr">
        <is>
          <t>UC-BOG-FCA-015</t>
        </is>
      </c>
      <c r="I21" s="79" t="n">
        <v>3</v>
      </c>
      <c r="J21" s="70" t="n">
        <v>4</v>
      </c>
      <c r="K21" s="70">
        <f>IF(NOT(ISNUMBER(Table1[[#This Row],[Landing Cost]])),"",Table1[[#This Row],[Landing Cost]]*FX_USD_KES)</f>
        <v/>
      </c>
      <c r="L21" s="70">
        <f>IF(NOT(ISNUMBER(Table1[[#This Row],[Cost_KES]])),"",Table1[[#This Row],[Cost_KES]]*MULT_RETAIL_CORE)</f>
        <v/>
      </c>
      <c r="M21" s="71">
        <f>IF(NOT(ISNUMBER(Table1[[#This Row],[Retail_KES]])),"",IF(Table1[[#This Row],[Retail_KES]]&lt;=0,"",IF(Table1[[#This Row],[Retail_KES]]&gt;=10000, ROUNDUP(Table1[[#This Row],[Retail_KES]]/1000,0)*1000-10,
 IF(Table1[[#This Row],[Retail_KES]]&gt;=3000, ROUNDUP(Table1[[#This Row],[Retail_KES]]/100,0)*100-1,
 ROUNDUP(Table1[[#This Row],[Retail_KES]]/10,0)*10-0.01))))</f>
        <v/>
      </c>
      <c r="N21" s="70">
        <f>IFERROR(Table1[[#This Row],[Pychological  Pricing]]/FX_USD_KES,"")</f>
        <v/>
      </c>
      <c r="O21"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1" s="70">
        <f>IFERROR(Table1[[#This Row],[Wholesale_KES]]/FX_USD_KES,"")</f>
        <v/>
      </c>
      <c r="Q21"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1" s="70">
        <f>IFERROR(Table1[[#This Row],[Corporate_KES]]/FX_USD_KES,"")</f>
        <v/>
      </c>
      <c r="S21"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1" s="70">
        <f>IFERROR(Table1[[#This Row],[Influencer_KES]]/FX_USD_KES,"")</f>
        <v/>
      </c>
      <c r="U21" s="52" t="n">
        <v>111</v>
      </c>
      <c r="V21" s="70">
        <f>IF(NOT(ISNUMBER(Table1[[#This Row],[Pychological  Pricing]])),"",Table1[[#This Row],[Quantity]]*Table1[[#This Row],[Pychological  Pricing]])</f>
        <v/>
      </c>
      <c r="AA21" s="2" t="n"/>
      <c r="AB21" s="2" t="n"/>
      <c r="AC21" s="2" t="n"/>
      <c r="AD21" s="16" t="inlineStr">
        <is>
          <t>740ml stainless steel water filter bottle' s  straw only
NIL</t>
        </is>
      </c>
      <c r="AE21" s="3" t="n"/>
    </row>
    <row r="22" ht="172.2" customHeight="1">
      <c r="A22" s="70" t="inlineStr">
        <is>
          <t>Bottles &amp; On-the-Go</t>
        </is>
      </c>
      <c r="B22" s="70" t="inlineStr">
        <is>
          <t>consumables</t>
        </is>
      </c>
      <c r="C22" s="69" t="inlineStr">
        <is>
          <t>Tritan Bottle Filter Cap</t>
        </is>
      </c>
      <c r="D22" s="82" t="inlineStr">
        <is>
          <t>*For tritan and  stainless steel water filter bottle  replacement  Carton Capacity: 320*290*140mm/120pcs/2.5KG</t>
        </is>
      </c>
      <c r="E22" s="69" t="inlineStr">
        <is>
          <t>Certification : SGS/ROHS    Bacterial removal rate 99.999%
Virus removal rate 99.9%
Initial removal rate of heavy metals: 99%
lifetime: 150L</t>
        </is>
      </c>
      <c r="F22" s="70" t="inlineStr">
        <is>
          <t>Cartridge – bottle Ahlstrom</t>
        </is>
      </c>
      <c r="G22" s="83" t="inlineStr">
        <is>
          <t>Filter Squeeze Ahlstrom</t>
        </is>
      </c>
      <c r="H22" s="3" t="inlineStr">
        <is>
          <t>UC-BOG-FCA-015</t>
        </is>
      </c>
      <c r="I22" s="79" t="n">
        <v>3</v>
      </c>
      <c r="J22" s="70" t="n">
        <v>4</v>
      </c>
      <c r="K22" s="70">
        <f>IF(NOT(ISNUMBER(Table1[[#This Row],[Landing Cost]])),"",Table1[[#This Row],[Landing Cost]]*FX_USD_KES)</f>
        <v/>
      </c>
      <c r="L22" s="70">
        <f>IF(NOT(ISNUMBER(Table1[[#This Row],[Cost_KES]])),"",Table1[[#This Row],[Cost_KES]]*MULT_RETAIL_CORE)</f>
        <v/>
      </c>
      <c r="M22" s="71">
        <f>IF(NOT(ISNUMBER(Table1[[#This Row],[Retail_KES]])),"",IF(Table1[[#This Row],[Retail_KES]]&lt;=0,"",IF(Table1[[#This Row],[Retail_KES]]&gt;=10000, ROUNDUP(Table1[[#This Row],[Retail_KES]]/1000,0)*1000-10,
 IF(Table1[[#This Row],[Retail_KES]]&gt;=3000, ROUNDUP(Table1[[#This Row],[Retail_KES]]/100,0)*100-1,
 ROUNDUP(Table1[[#This Row],[Retail_KES]]/10,0)*10-0.01))))</f>
        <v/>
      </c>
      <c r="N22" s="70">
        <f>IFERROR(Table1[[#This Row],[Pychological  Pricing]]/FX_USD_KES,"")</f>
        <v/>
      </c>
      <c r="O22"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2" s="70">
        <f>IFERROR(Table1[[#This Row],[Wholesale_KES]]/FX_USD_KES,"")</f>
        <v/>
      </c>
      <c r="Q22"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2" s="70">
        <f>IFERROR(Table1[[#This Row],[Corporate_KES]]/FX_USD_KES,"")</f>
        <v/>
      </c>
      <c r="S22"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2" s="70">
        <f>IFERROR(Table1[[#This Row],[Influencer_KES]]/FX_USD_KES,"")</f>
        <v/>
      </c>
      <c r="U22" s="52" t="n">
        <v>240</v>
      </c>
      <c r="V22" s="70">
        <f>IF(NOT(ISNUMBER(Table1[[#This Row],[Pychological  Pricing]])),"",Table1[[#This Row],[Quantity]]*Table1[[#This Row],[Pychological  Pricing]])</f>
        <v/>
      </c>
      <c r="AA22" s="2" t="n"/>
      <c r="AB22" s="2" t="n"/>
      <c r="AC22" s="2" t="n"/>
      <c r="AD22" s="16" t="inlineStr">
        <is>
          <t>pump filter cartridge
BG-F04A</t>
        </is>
      </c>
      <c r="AE22" s="3" t="n"/>
    </row>
    <row r="23" ht="86.40000000000001" customHeight="1">
      <c r="A23" s="70" t="inlineStr">
        <is>
          <t>Bottles &amp; On-the-Go</t>
        </is>
      </c>
      <c r="B23" s="70" t="inlineStr">
        <is>
          <t>Core</t>
        </is>
      </c>
      <c r="C23" s="69" t="inlineStr">
        <is>
          <t xml:space="preserve">new straw filter
 BG-B12 </t>
        </is>
      </c>
      <c r="D23" s="82" t="inlineStr">
        <is>
          <t>"*Bacterial removal rate 99.999%
*Virus removal rate 99.9%
*Initial removal rate of heavy metals: 99%
*Lifetime: 500L"</t>
        </is>
      </c>
      <c r="E23" s="69" t="inlineStr">
        <is>
          <t>Certification : SGS/ROHS    Bacterial removal rate 99.999%
Virus removal rate 99.9%
Initial removal rate of heavy metals: 99%
lifetime: 500L</t>
        </is>
      </c>
      <c r="F23" s="70" t="inlineStr">
        <is>
          <t>Filter straw</t>
        </is>
      </c>
      <c r="G23" s="83" t="inlineStr">
        <is>
          <t>Survivor</t>
        </is>
      </c>
      <c r="H23" s="3" t="inlineStr">
        <is>
          <t>UC-BOG-FST-016</t>
        </is>
      </c>
      <c r="I23" s="79" t="n">
        <v>4.6</v>
      </c>
      <c r="J23" s="70" t="n">
        <v>6</v>
      </c>
      <c r="K23" s="70">
        <f>IF(NOT(ISNUMBER(Table1[[#This Row],[Landing Cost]])),"",Table1[[#This Row],[Landing Cost]]*FX_USD_KES)</f>
        <v/>
      </c>
      <c r="L23" s="70">
        <f>IF(NOT(ISNUMBER(Table1[[#This Row],[Cost_KES]])),"",Table1[[#This Row],[Cost_KES]]*MULT_RETAIL_CORE)</f>
        <v/>
      </c>
      <c r="M23" s="71">
        <f>IF(NOT(ISNUMBER(Table1[[#This Row],[Retail_KES]])),"",IF(Table1[[#This Row],[Retail_KES]]&lt;=0,"",IF(Table1[[#This Row],[Retail_KES]]&gt;=10000, ROUNDUP(Table1[[#This Row],[Retail_KES]]/1000,0)*1000-10,
 IF(Table1[[#This Row],[Retail_KES]]&gt;=3000, ROUNDUP(Table1[[#This Row],[Retail_KES]]/100,0)*100-1,
 ROUNDUP(Table1[[#This Row],[Retail_KES]]/10,0)*10-0.01))))</f>
        <v/>
      </c>
      <c r="N23" s="70">
        <f>IFERROR(Table1[[#This Row],[Pychological  Pricing]]/FX_USD_KES,"")</f>
        <v/>
      </c>
      <c r="O23"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3" s="70">
        <f>IFERROR(Table1[[#This Row],[Wholesale_KES]]/FX_USD_KES,"")</f>
        <v/>
      </c>
      <c r="Q23"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3" s="70">
        <f>IFERROR(Table1[[#This Row],[Corporate_KES]]/FX_USD_KES,"")</f>
        <v/>
      </c>
      <c r="S23"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3" s="70">
        <f>IFERROR(Table1[[#This Row],[Influencer_KES]]/FX_USD_KES,"")</f>
        <v/>
      </c>
      <c r="U23" s="52" t="n">
        <v>34</v>
      </c>
      <c r="V23" s="70">
        <f>IF(NOT(ISNUMBER(Table1[[#This Row],[Pychological  Pricing]])),"",Table1[[#This Row],[Quantity]]*Table1[[#This Row],[Pychological  Pricing]])</f>
        <v/>
      </c>
      <c r="AA23" s="2" t="n"/>
      <c r="AB23" s="2" t="n"/>
      <c r="AC23" s="2" t="n"/>
      <c r="AD23" s="86" t="n"/>
      <c r="AE23" s="3" t="n"/>
    </row>
    <row r="24" ht="191.4" customHeight="1">
      <c r="A24" s="70" t="inlineStr">
        <is>
          <t>Bottles &amp; On-the-Go</t>
        </is>
      </c>
      <c r="B24" s="70" t="inlineStr">
        <is>
          <t>consumables</t>
        </is>
      </c>
      <c r="C24" s="69" t="inlineStr">
        <is>
          <t>Straw Filter Only</t>
        </is>
      </c>
      <c r="D24" s="82" t="inlineStr">
        <is>
          <t>Water filter Straw  replacement       *Bacterial removal rate 99.999%
*Virus removal rate 99.9%
*Initial removal rate of heavy metals: 99%
*Lifetime: 500L</t>
        </is>
      </c>
      <c r="E24" s="70" t="inlineStr">
        <is>
          <t>Certification : SGS/ROHS    Bacterial removal rate 99.999%</t>
        </is>
      </c>
      <c r="F24" s="70" t="inlineStr">
        <is>
          <t>Cartridge – straw</t>
        </is>
      </c>
      <c r="G24" s="83" t="inlineStr">
        <is>
          <t>Survivor  filter</t>
        </is>
      </c>
      <c r="H24" s="3" t="inlineStr">
        <is>
          <t>UC-BOG-FCS-017</t>
        </is>
      </c>
      <c r="I24" s="79" t="n">
        <v>2.5</v>
      </c>
      <c r="J24" s="70" t="n">
        <v>2</v>
      </c>
      <c r="K24" s="70">
        <f>IF(NOT(ISNUMBER(Table1[[#This Row],[Landing Cost]])),"",Table1[[#This Row],[Landing Cost]]*FX_USD_KES)</f>
        <v/>
      </c>
      <c r="L24" s="70">
        <f>IF(NOT(ISNUMBER(Table1[[#This Row],[Cost_KES]])),"",Table1[[#This Row],[Cost_KES]]*MULT_RETAIL_CORE)</f>
        <v/>
      </c>
      <c r="M24" s="71">
        <f>IF(NOT(ISNUMBER(Table1[[#This Row],[Retail_KES]])),"",IF(Table1[[#This Row],[Retail_KES]]&lt;=0,"",IF(Table1[[#This Row],[Retail_KES]]&gt;=10000, ROUNDUP(Table1[[#This Row],[Retail_KES]]/1000,0)*1000-10,
 IF(Table1[[#This Row],[Retail_KES]]&gt;=3000, ROUNDUP(Table1[[#This Row],[Retail_KES]]/100,0)*100-1,
 ROUNDUP(Table1[[#This Row],[Retail_KES]]/10,0)*10-0.01))))</f>
        <v/>
      </c>
      <c r="N24" s="70">
        <f>IFERROR(Table1[[#This Row],[Pychological  Pricing]]/FX_USD_KES,"")</f>
        <v/>
      </c>
      <c r="O24"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4" s="70">
        <f>IFERROR(Table1[[#This Row],[Wholesale_KES]]/FX_USD_KES,"")</f>
        <v/>
      </c>
      <c r="Q24"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4" s="70">
        <f>IFERROR(Table1[[#This Row],[Corporate_KES]]/FX_USD_KES,"")</f>
        <v/>
      </c>
      <c r="S24"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4" s="70">
        <f>IFERROR(Table1[[#This Row],[Influencer_KES]]/FX_USD_KES,"")</f>
        <v/>
      </c>
      <c r="U24" s="52" t="n">
        <v>0</v>
      </c>
      <c r="V24" s="70">
        <f>IF(NOT(ISNUMBER(Table1[[#This Row],[Pychological  Pricing]])),"",Table1[[#This Row],[Quantity]]*Table1[[#This Row],[Pychological  Pricing]])</f>
        <v/>
      </c>
      <c r="AA24" s="2" t="n"/>
      <c r="AB24" s="2" t="n"/>
      <c r="AC24" s="2" t="n"/>
      <c r="AD24" s="16" t="inlineStr">
        <is>
          <t>ultra filter faucet
BG-T01U</t>
        </is>
      </c>
      <c r="AE24" s="3" t="n"/>
    </row>
    <row r="25" ht="97.2" customHeight="1">
      <c r="A25" s="70" t="inlineStr">
        <is>
          <t>Bottles &amp; On-the-Go</t>
        </is>
      </c>
      <c r="B25" s="70" t="inlineStr">
        <is>
          <t>consumables</t>
        </is>
      </c>
      <c r="C25" s="69" t="inlineStr">
        <is>
          <t>Bottles Filter Shell</t>
        </is>
      </c>
      <c r="D25" s="75" t="inlineStr">
        <is>
          <t>Straw shell without filter for straw filter bottle</t>
        </is>
      </c>
      <c r="E25" s="70" t="inlineStr">
        <is>
          <t>Virus removal rate 99.9%</t>
        </is>
      </c>
      <c r="F25" s="70" t="inlineStr">
        <is>
          <t>Straw shell (no filter)</t>
        </is>
      </c>
      <c r="G25" s="83" t="inlineStr">
        <is>
          <t>Shell</t>
        </is>
      </c>
      <c r="H25" s="3" t="inlineStr">
        <is>
          <t>UC-BOG-SHL-018</t>
        </is>
      </c>
      <c r="I25" s="79" t="n">
        <v>1.2</v>
      </c>
      <c r="J25" s="70" t="n">
        <v>1.5</v>
      </c>
      <c r="K25" s="70">
        <f>IF(NOT(ISNUMBER(Table1[[#This Row],[Landing Cost]])),"",Table1[[#This Row],[Landing Cost]]*FX_USD_KES)</f>
        <v/>
      </c>
      <c r="L25" s="70">
        <f>IF(NOT(ISNUMBER(Table1[[#This Row],[Cost_KES]])),"",Table1[[#This Row],[Cost_KES]]*MULT_RETAIL_CORE)</f>
        <v/>
      </c>
      <c r="M25" s="71">
        <f>IF(NOT(ISNUMBER(Table1[[#This Row],[Retail_KES]])),"",IF(Table1[[#This Row],[Retail_KES]]&lt;=0,"",IF(Table1[[#This Row],[Retail_KES]]&gt;=10000, ROUNDUP(Table1[[#This Row],[Retail_KES]]/1000,0)*1000-10,
 IF(Table1[[#This Row],[Retail_KES]]&gt;=3000, ROUNDUP(Table1[[#This Row],[Retail_KES]]/100,0)*100-1,
 ROUNDUP(Table1[[#This Row],[Retail_KES]]/10,0)*10-0.01))))</f>
        <v/>
      </c>
      <c r="N25" s="70">
        <f>IFERROR(Table1[[#This Row],[Pychological  Pricing]]/FX_USD_KES,"")</f>
        <v/>
      </c>
      <c r="O25"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5" s="70">
        <f>IFERROR(Table1[[#This Row],[Wholesale_KES]]/FX_USD_KES,"")</f>
        <v/>
      </c>
      <c r="Q25"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5" s="70">
        <f>IFERROR(Table1[[#This Row],[Corporate_KES]]/FX_USD_KES,"")</f>
        <v/>
      </c>
      <c r="S25"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5" s="70">
        <f>IFERROR(Table1[[#This Row],[Influencer_KES]]/FX_USD_KES,"")</f>
        <v/>
      </c>
      <c r="U25" s="52" t="n">
        <v>50</v>
      </c>
      <c r="V25" s="70">
        <f>IF(NOT(ISNUMBER(Table1[[#This Row],[Pychological  Pricing]])),"",Table1[[#This Row],[Quantity]]*Table1[[#This Row],[Pychological  Pricing]])</f>
        <v/>
      </c>
      <c r="AA25" s="2" t="n"/>
      <c r="AB25" s="2" t="n"/>
      <c r="AC25" s="2" t="n"/>
      <c r="AD25" s="86" t="n"/>
      <c r="AE25" s="3" t="n"/>
    </row>
    <row r="26" ht="201.6" customHeight="1">
      <c r="A26" s="70" t="inlineStr">
        <is>
          <t>Skincare &amp; Wellness</t>
        </is>
      </c>
      <c r="B26" s="70" t="inlineStr">
        <is>
          <t>Core</t>
        </is>
      </c>
      <c r="C26" s="69" t="inlineStr">
        <is>
          <t>round shower filter
 BG-S02</t>
        </is>
      </c>
      <c r="D26" s="82" t="inlineStr">
        <is>
          <t>Stage1: Steel mesh
Stage2: Actived Carbon Fiber (ACF)
Stage3: KDF 55 
Stage4: Calcium Sulphite(CaSO₃)
Stage5: Vitamin C beads
Stage6: Lemon Aroma Beads
Lifetime: 15000 Liters (3-4 Months )
Function: Remove sand, residual chlorine and other organic compounds, color,odor, heavy metal....
Protect skin and hair from contamination and damage from impurities in city water
Carton Capacity: 45.5x42x24cm/30pcs/13KG</t>
        </is>
      </c>
      <c r="E26" s="70" t="inlineStr">
        <is>
          <t>Initial removal rate of heavy metals: 99%</t>
        </is>
      </c>
      <c r="F26" s="70" t="inlineStr">
        <is>
          <t>Skin Care SPA shower filter v1</t>
        </is>
      </c>
      <c r="G26" s="83" t="inlineStr">
        <is>
          <t>Chanel</t>
        </is>
      </c>
      <c r="H26" s="3" t="inlineStr">
        <is>
          <t>UC-SKW-SHF-019</t>
        </is>
      </c>
      <c r="I26" s="79" t="n">
        <v>7</v>
      </c>
      <c r="J26" s="70" t="n">
        <v>12</v>
      </c>
      <c r="K26" s="70">
        <f>IF(NOT(ISNUMBER(Table1[[#This Row],[Landing Cost]])),"",Table1[[#This Row],[Landing Cost]]*FX_USD_KES)</f>
        <v/>
      </c>
      <c r="L26" s="70">
        <f>IF(NOT(ISNUMBER(Table1[[#This Row],[Cost_KES]])),"",Table1[[#This Row],[Cost_KES]]*MULT_RETAIL_CORE)</f>
        <v/>
      </c>
      <c r="M26" s="71">
        <f>IF(NOT(ISNUMBER(Table1[[#This Row],[Retail_KES]])),"",IF(Table1[[#This Row],[Retail_KES]]&lt;=0,"",IF(Table1[[#This Row],[Retail_KES]]&gt;=10000, ROUNDUP(Table1[[#This Row],[Retail_KES]]/1000,0)*1000-10,
 IF(Table1[[#This Row],[Retail_KES]]&gt;=3000, ROUNDUP(Table1[[#This Row],[Retail_KES]]/100,0)*100-1,
 ROUNDUP(Table1[[#This Row],[Retail_KES]]/10,0)*10-0.01))))</f>
        <v/>
      </c>
      <c r="N26" s="70">
        <f>IFERROR(Table1[[#This Row],[Pychological  Pricing]]/FX_USD_KES,"")</f>
        <v/>
      </c>
      <c r="O26"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6" s="70">
        <f>IFERROR(Table1[[#This Row],[Wholesale_KES]]/FX_USD_KES,"")</f>
        <v/>
      </c>
      <c r="Q26"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6" s="70">
        <f>IFERROR(Table1[[#This Row],[Corporate_KES]]/FX_USD_KES,"")</f>
        <v/>
      </c>
      <c r="S26"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6" s="70">
        <f>IFERROR(Table1[[#This Row],[Influencer_KES]]/FX_USD_KES,"")</f>
        <v/>
      </c>
      <c r="U26" s="52" t="n">
        <v>60</v>
      </c>
      <c r="V26" s="70">
        <f>IF(NOT(ISNUMBER(Table1[[#This Row],[Pychological  Pricing]])),"",Table1[[#This Row],[Quantity]]*Table1[[#This Row],[Pychological  Pricing]])</f>
        <v/>
      </c>
      <c r="AA26" s="2" t="n"/>
      <c r="AB26" s="2" t="n"/>
      <c r="AC26" s="2" t="n"/>
      <c r="AD26" s="16" t="inlineStr">
        <is>
          <t>faucet filter cartridge
BG-F01U</t>
        </is>
      </c>
      <c r="AE26" s="3" t="n"/>
    </row>
    <row r="27" ht="216" customHeight="1">
      <c r="A27" s="70" t="inlineStr">
        <is>
          <t>Skincare &amp; Wellness</t>
        </is>
      </c>
      <c r="B27" s="70" t="inlineStr">
        <is>
          <t>Core</t>
        </is>
      </c>
      <c r="C27" s="69" t="inlineStr">
        <is>
          <t xml:space="preserve">diamond shower filter
 BG-S01 </t>
        </is>
      </c>
      <c r="D27" s="82" t="inlineStr">
        <is>
          <t>Stage1: Steel mesh
Stage2: Actived Carbon Fiber (ACF)
Stage3: KDF 55 
Stage4: Calcium Sulphite(CaSO₃)
Stage5: Vitamin C beads
Stage6: Lemon Aroma Beads
Lifetime: 15000 Liters (3-4 Months ) Depending source of water
Function: Remove sand, residual chlorine and other organic compounds, color,odor, heavy metal....
Protect skin and hair from contamination and damage from impurities in city water
Carton Capacity: 45.5x42x24cm/30pcs/13KG</t>
        </is>
      </c>
      <c r="E27" s="70" t="inlineStr">
        <is>
          <t>lifetime: 500L</t>
        </is>
      </c>
      <c r="F27" s="70" t="inlineStr">
        <is>
          <t>Skin Care SPA shower filter v2</t>
        </is>
      </c>
      <c r="G27" s="83" t="inlineStr">
        <is>
          <t>Derma Care</t>
        </is>
      </c>
      <c r="H27" s="3" t="inlineStr">
        <is>
          <t>UC-SKW-SHF-020</t>
        </is>
      </c>
      <c r="I27" s="79" t="n">
        <v>6</v>
      </c>
      <c r="J27" s="70" t="n">
        <v>9.5</v>
      </c>
      <c r="K27" s="70">
        <f>IF(NOT(ISNUMBER(Table1[[#This Row],[Landing Cost]])),"",Table1[[#This Row],[Landing Cost]]*FX_USD_KES)</f>
        <v/>
      </c>
      <c r="L27" s="70">
        <f>IF(NOT(ISNUMBER(Table1[[#This Row],[Cost_KES]])),"",Table1[[#This Row],[Cost_KES]]*MULT_RETAIL_CORE)</f>
        <v/>
      </c>
      <c r="M27" s="71">
        <f>IF(NOT(ISNUMBER(Table1[[#This Row],[Retail_KES]])),"",IF(Table1[[#This Row],[Retail_KES]]&lt;=0,"",IF(Table1[[#This Row],[Retail_KES]]&gt;=10000, ROUNDUP(Table1[[#This Row],[Retail_KES]]/1000,0)*1000-10,
 IF(Table1[[#This Row],[Retail_KES]]&gt;=3000, ROUNDUP(Table1[[#This Row],[Retail_KES]]/100,0)*100-1,
 ROUNDUP(Table1[[#This Row],[Retail_KES]]/10,0)*10-0.01))))</f>
        <v/>
      </c>
      <c r="N27" s="70">
        <f>IFERROR(Table1[[#This Row],[Pychological  Pricing]]/FX_USD_KES,"")</f>
        <v/>
      </c>
      <c r="O27"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7" s="70">
        <f>IFERROR(Table1[[#This Row],[Wholesale_KES]]/FX_USD_KES,"")</f>
        <v/>
      </c>
      <c r="Q27"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7" s="70">
        <f>IFERROR(Table1[[#This Row],[Corporate_KES]]/FX_USD_KES,"")</f>
        <v/>
      </c>
      <c r="S27"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7" s="70">
        <f>IFERROR(Table1[[#This Row],[Influencer_KES]]/FX_USD_KES,"")</f>
        <v/>
      </c>
      <c r="U27" s="52" t="n">
        <v>50</v>
      </c>
      <c r="V27" s="70">
        <f>IF(NOT(ISNUMBER(Table1[[#This Row],[Pychological  Pricing]])),"",Table1[[#This Row],[Quantity]]*Table1[[#This Row],[Pychological  Pricing]])</f>
        <v/>
      </c>
      <c r="AA27" s="2" t="n"/>
      <c r="AB27" s="2" t="n"/>
      <c r="AC27" s="2" t="n"/>
      <c r="AD27" s="16" t="inlineStr">
        <is>
          <t xml:space="preserve">diamond shower filter
 BG-S01 </t>
        </is>
      </c>
      <c r="AE27" s="3" t="n"/>
    </row>
    <row r="28" ht="216" customHeight="1">
      <c r="A28" s="70" t="inlineStr">
        <is>
          <t>Skincare &amp; Wellness</t>
        </is>
      </c>
      <c r="B28" s="70" t="inlineStr">
        <is>
          <t>Core</t>
        </is>
      </c>
      <c r="C28" s="69" t="inlineStr">
        <is>
          <t>aluminum alloy shower filter
 BG-S06</t>
        </is>
      </c>
      <c r="D28" s="82" t="inlineStr">
        <is>
          <t>Shower water filter 
4 stages: Calcium Sulphite+Vitamin C+Carbon Fibre+Aromatherapy Beads
Calcium Sulphite: Reduces chlorine.
Granular Activated Carbon: Reduces trihalomethane (THMs) and odor.
Aromatherapy Beads: Alleviates stress and anxiety, relieves fatigue, and has cosmetic effects.
Carbon FIbre: Remove bacteria, odors, residual chlorine, pigments, benzene, ketones, petroleum, S02, NO2, heavy metal ions, and radioactive substances from water.
Filter Lifetime: 3-4 Months or 1500 Litres Depending on water source.                                                               alumium alloy shell 
Box Content:1pcs filter cartridge inside the filter shell
Carton Capacity:420*300*390mm/30PCS/19KG</t>
        </is>
      </c>
      <c r="E28" s="70" t="inlineStr">
        <is>
          <t>"C:\Users\WORK\OneDrive\WEB\OFFICIAL   DOCUMENTS\Resources\company internal documents\OPERATIONS DOCUMENTS\Final Deployment Project Resources\Projects\Certifications\Lap Test\SGS Test Results Certifications\Shower Filter.pdf"</t>
        </is>
      </c>
      <c r="F28" s="70" t="inlineStr">
        <is>
          <t>Aluminium SPA shower filter</t>
        </is>
      </c>
      <c r="G28" s="83" t="inlineStr">
        <is>
          <t>J'adore</t>
        </is>
      </c>
      <c r="H28" s="3" t="inlineStr">
        <is>
          <t>UC-SKW-SHF-021</t>
        </is>
      </c>
      <c r="I28" s="79" t="n">
        <v>12.5</v>
      </c>
      <c r="J28" s="70" t="n">
        <v>15</v>
      </c>
      <c r="K28" s="70">
        <f>IF(NOT(ISNUMBER(Table1[[#This Row],[Landing Cost]])),"",Table1[[#This Row],[Landing Cost]]*FX_USD_KES)</f>
        <v/>
      </c>
      <c r="L28" s="70">
        <f>IF(NOT(ISNUMBER(Table1[[#This Row],[Cost_KES]])),"",Table1[[#This Row],[Cost_KES]]*MULT_RETAIL_CORE)</f>
        <v/>
      </c>
      <c r="M28" s="71">
        <f>IF(NOT(ISNUMBER(Table1[[#This Row],[Retail_KES]])),"",IF(Table1[[#This Row],[Retail_KES]]&lt;=0,"",IF(Table1[[#This Row],[Retail_KES]]&gt;=10000, ROUNDUP(Table1[[#This Row],[Retail_KES]]/1000,0)*1000-10,
 IF(Table1[[#This Row],[Retail_KES]]&gt;=3000, ROUNDUP(Table1[[#This Row],[Retail_KES]]/100,0)*100-1,
 ROUNDUP(Table1[[#This Row],[Retail_KES]]/10,0)*10-0.01))))</f>
        <v/>
      </c>
      <c r="N28" s="70">
        <f>IFERROR(Table1[[#This Row],[Pychological  Pricing]]/FX_USD_KES,"")</f>
        <v/>
      </c>
      <c r="O28"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8" s="70">
        <f>IFERROR(Table1[[#This Row],[Wholesale_KES]]/FX_USD_KES,"")</f>
        <v/>
      </c>
      <c r="Q28"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8" s="70">
        <f>IFERROR(Table1[[#This Row],[Corporate_KES]]/FX_USD_KES,"")</f>
        <v/>
      </c>
      <c r="S28"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8" s="70">
        <f>IFERROR(Table1[[#This Row],[Influencer_KES]]/FX_USD_KES,"")</f>
        <v/>
      </c>
      <c r="U28" s="52" t="n">
        <v>65</v>
      </c>
      <c r="V28" s="70">
        <f>IF(NOT(ISNUMBER(Table1[[#This Row],[Pychological  Pricing]])),"",Table1[[#This Row],[Quantity]]*Table1[[#This Row],[Pychological  Pricing]])</f>
        <v/>
      </c>
      <c r="AA28" s="2" t="n"/>
      <c r="AB28" s="2" t="n"/>
      <c r="AC28" s="2" t="n"/>
      <c r="AD28" s="16" t="inlineStr">
        <is>
          <t>round shower filter
 BG-S02</t>
        </is>
      </c>
      <c r="AE28" s="3" t="n"/>
    </row>
    <row r="29" ht="129.6" customHeight="1">
      <c r="A29" s="70" t="inlineStr">
        <is>
          <t>Skincare &amp; Wellness</t>
        </is>
      </c>
      <c r="B29" s="70" t="inlineStr">
        <is>
          <t>Core</t>
        </is>
      </c>
      <c r="C29" s="69" t="inlineStr">
        <is>
          <t>shower filter with window
 BG-S04</t>
        </is>
      </c>
      <c r="D29" s="82" t="inlineStr">
        <is>
          <t>Function: Remove sand, residual chlorine and other organic compounds, color,odor, heavy metal....
Protect skin and hair from contamination and damage from impurities in city water
Lifespan：8000L
no replacement filter
Carton Capacity: 90pcs/20.5kgs/37*44*36cm</t>
        </is>
      </c>
      <c r="E29" s="70" t="inlineStr">
        <is>
          <t>Certification : SGS/ROHS /FDA</t>
        </is>
      </c>
      <c r="F29" s="70" t="inlineStr">
        <is>
          <t>Basic shower filter</t>
        </is>
      </c>
      <c r="G29" s="83" t="inlineStr">
        <is>
          <t>Pure Drop</t>
        </is>
      </c>
      <c r="H29" s="3" t="inlineStr">
        <is>
          <t>UC-SKW-SHF-022</t>
        </is>
      </c>
      <c r="I29" s="79" t="n">
        <v>4</v>
      </c>
      <c r="J29" s="70" t="n">
        <v>9</v>
      </c>
      <c r="K29" s="70">
        <f>IF(NOT(ISNUMBER(Table1[[#This Row],[Landing Cost]])),"",Table1[[#This Row],[Landing Cost]]*FX_USD_KES)</f>
        <v/>
      </c>
      <c r="L29" s="70">
        <f>IF(NOT(ISNUMBER(Table1[[#This Row],[Cost_KES]])),"",Table1[[#This Row],[Cost_KES]]*MULT_RETAIL_CORE)</f>
        <v/>
      </c>
      <c r="M29" s="71">
        <f>IF(NOT(ISNUMBER(Table1[[#This Row],[Retail_KES]])),"",IF(Table1[[#This Row],[Retail_KES]]&lt;=0,"",IF(Table1[[#This Row],[Retail_KES]]&gt;=10000, ROUNDUP(Table1[[#This Row],[Retail_KES]]/1000,0)*1000-10,
 IF(Table1[[#This Row],[Retail_KES]]&gt;=3000, ROUNDUP(Table1[[#This Row],[Retail_KES]]/100,0)*100-1,
 ROUNDUP(Table1[[#This Row],[Retail_KES]]/10,0)*10-0.01))))</f>
        <v/>
      </c>
      <c r="N29" s="70">
        <f>IFERROR(Table1[[#This Row],[Pychological  Pricing]]/FX_USD_KES,"")</f>
        <v/>
      </c>
      <c r="O29"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29" s="70">
        <f>IFERROR(Table1[[#This Row],[Wholesale_KES]]/FX_USD_KES,"")</f>
        <v/>
      </c>
      <c r="Q29"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29" s="70">
        <f>IFERROR(Table1[[#This Row],[Corporate_KES]]/FX_USD_KES,"")</f>
        <v/>
      </c>
      <c r="S29"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29" s="70">
        <f>IFERROR(Table1[[#This Row],[Influencer_KES]]/FX_USD_KES,"")</f>
        <v/>
      </c>
      <c r="U29" s="52" t="n">
        <v>10</v>
      </c>
      <c r="V29" s="70">
        <f>IF(NOT(ISNUMBER(Table1[[#This Row],[Pychological  Pricing]])),"",Table1[[#This Row],[Quantity]]*Table1[[#This Row],[Pychological  Pricing]])</f>
        <v/>
      </c>
      <c r="AA29" s="2" t="n"/>
      <c r="AB29" s="2" t="n"/>
      <c r="AC29" s="2" t="n"/>
      <c r="AD29" s="16" t="inlineStr">
        <is>
          <t>shower filter with window
 BG-S04</t>
        </is>
      </c>
      <c r="AE29" s="3" t="n"/>
    </row>
    <row r="30" ht="28.8" customHeight="1">
      <c r="A30" s="70" t="inlineStr">
        <is>
          <t>Skincare &amp; Wellness</t>
        </is>
      </c>
      <c r="B30" s="70" t="inlineStr">
        <is>
          <t>consumables</t>
        </is>
      </c>
      <c r="C30" s="69" t="inlineStr">
        <is>
          <t>shower filter cartridge
BG-F02</t>
        </is>
      </c>
      <c r="D30" s="75" t="n"/>
      <c r="E30" s="70" t="inlineStr">
        <is>
          <t>Certification : SGS/ROHS /FDA</t>
        </is>
      </c>
      <c r="F30" s="70" t="inlineStr">
        <is>
          <t>Cartridge – shower</t>
        </is>
      </c>
      <c r="G30" s="83" t="inlineStr">
        <is>
          <t>Shower Filter</t>
        </is>
      </c>
      <c r="H30" s="3" t="inlineStr">
        <is>
          <t>UC-SKW-SHC-023</t>
        </is>
      </c>
      <c r="I30" s="79" t="n">
        <v>6</v>
      </c>
      <c r="J30" s="70" t="n">
        <v>6.5</v>
      </c>
      <c r="K30" s="70">
        <f>IF(NOT(ISNUMBER(Table1[[#This Row],[Landing Cost]])),"",Table1[[#This Row],[Landing Cost]]*FX_USD_KES)</f>
        <v/>
      </c>
      <c r="L30" s="70">
        <f>IF(NOT(ISNUMBER(Table1[[#This Row],[Cost_KES]])),"",Table1[[#This Row],[Cost_KES]]*MULT_RETAIL_CORE)</f>
        <v/>
      </c>
      <c r="M30" s="71">
        <f>IF(NOT(ISNUMBER(Table1[[#This Row],[Retail_KES]])),"",IF(Table1[[#This Row],[Retail_KES]]&lt;=0,"",IF(Table1[[#This Row],[Retail_KES]]&gt;=10000, ROUNDUP(Table1[[#This Row],[Retail_KES]]/1000,0)*1000-10,
 IF(Table1[[#This Row],[Retail_KES]]&gt;=3000, ROUNDUP(Table1[[#This Row],[Retail_KES]]/100,0)*100-1,
 ROUNDUP(Table1[[#This Row],[Retail_KES]]/10,0)*10-0.01))))</f>
        <v/>
      </c>
      <c r="N30" s="70">
        <f>IFERROR(Table1[[#This Row],[Pychological  Pricing]]/FX_USD_KES,"")</f>
        <v/>
      </c>
      <c r="O30"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0" s="70">
        <f>IFERROR(Table1[[#This Row],[Wholesale_KES]]/FX_USD_KES,"")</f>
        <v/>
      </c>
      <c r="Q30"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0" s="70">
        <f>IFERROR(Table1[[#This Row],[Corporate_KES]]/FX_USD_KES,"")</f>
        <v/>
      </c>
      <c r="S30"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0" s="70">
        <f>IFERROR(Table1[[#This Row],[Influencer_KES]]/FX_USD_KES,"")</f>
        <v/>
      </c>
      <c r="U30" s="52" t="n">
        <v>94</v>
      </c>
      <c r="V30" s="70">
        <f>IF(NOT(ISNUMBER(Table1[[#This Row],[Pychological  Pricing]])),"",Table1[[#This Row],[Quantity]]*Table1[[#This Row],[Pychological  Pricing]])</f>
        <v/>
      </c>
      <c r="AA30" s="2" t="n"/>
      <c r="AB30" s="2" t="n"/>
      <c r="AC30" s="2" t="n"/>
      <c r="AD30" s="16" t="inlineStr">
        <is>
          <t>aluminum alloy shower filter
 BG-S06</t>
        </is>
      </c>
      <c r="AE30" s="3" t="n"/>
    </row>
    <row r="31" ht="129.6" customHeight="1">
      <c r="A31" s="70" t="inlineStr">
        <is>
          <t>Skincare &amp; Wellness</t>
        </is>
      </c>
      <c r="B31" s="70" t="inlineStr">
        <is>
          <t>Core</t>
        </is>
      </c>
      <c r="C31" s="69" t="inlineStr">
        <is>
          <t>SF-N1</t>
        </is>
      </c>
      <c r="D31" s="82" t="inlineStr">
        <is>
          <t>Shower Filter+ handheld shower head
Showe Filter media: 200g KDF+ 60g Calcium sulfite
6-inch Adjustable Wrench
Teflon Tape
Handle shower bracket
1.8 meters hose
Gift packing box</t>
        </is>
      </c>
      <c r="E31" s="70" t="inlineStr">
        <is>
          <t>Certification : SGS/ROHS /FDA</t>
        </is>
      </c>
      <c r="F31" s="70" t="inlineStr">
        <is>
          <t>Inline Shower Filter</t>
        </is>
      </c>
      <c r="G31" s="83" t="inlineStr">
        <is>
          <t>Derma Flux</t>
        </is>
      </c>
      <c r="H31" s="3" t="inlineStr">
        <is>
          <t>UC-SKW-DFS-024</t>
        </is>
      </c>
      <c r="I31" s="79" t="n">
        <v>50</v>
      </c>
      <c r="J31" s="70" t="n">
        <v>30</v>
      </c>
      <c r="K31" s="70">
        <f>IF(NOT(ISNUMBER(Table1[[#This Row],[Landing Cost]])),"",Table1[[#This Row],[Landing Cost]]*FX_USD_KES)</f>
        <v/>
      </c>
      <c r="L31" s="70">
        <f>IF(NOT(ISNUMBER(Table1[[#This Row],[Cost_KES]])),"",Table1[[#This Row],[Cost_KES]]*MULT_RETAIL_CORE)</f>
        <v/>
      </c>
      <c r="M31" s="71">
        <f>IF(NOT(ISNUMBER(Table1[[#This Row],[Retail_KES]])),"",IF(Table1[[#This Row],[Retail_KES]]&lt;=0,"",IF(Table1[[#This Row],[Retail_KES]]&gt;=10000, ROUNDUP(Table1[[#This Row],[Retail_KES]]/1000,0)*1000-10,
 IF(Table1[[#This Row],[Retail_KES]]&gt;=3000, ROUNDUP(Table1[[#This Row],[Retail_KES]]/100,0)*100-1,
 ROUNDUP(Table1[[#This Row],[Retail_KES]]/10,0)*10-0.01))))</f>
        <v/>
      </c>
      <c r="N31" s="70">
        <f>IFERROR(Table1[[#This Row],[Pychological  Pricing]]/FX_USD_KES,"")</f>
        <v/>
      </c>
      <c r="O31"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1" s="70">
        <f>IFERROR(Table1[[#This Row],[Wholesale_KES]]/FX_USD_KES,"")</f>
        <v/>
      </c>
      <c r="Q31"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1" s="70">
        <f>IFERROR(Table1[[#This Row],[Corporate_KES]]/FX_USD_KES,"")</f>
        <v/>
      </c>
      <c r="S31"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1" s="70">
        <f>IFERROR(Table1[[#This Row],[Influencer_KES]]/FX_USD_KES,"")</f>
        <v/>
      </c>
      <c r="U31" s="52" t="n">
        <v>2</v>
      </c>
      <c r="V31" s="70">
        <f>IF(NOT(ISNUMBER(Table1[[#This Row],[Pychological  Pricing]])),"",Table1[[#This Row],[Quantity]]*Table1[[#This Row],[Pychological  Pricing]])</f>
        <v/>
      </c>
      <c r="AA31" s="2" t="n"/>
      <c r="AB31" s="2" t="n"/>
      <c r="AC31" s="2" t="n"/>
      <c r="AD31" s="16" t="inlineStr">
        <is>
          <t>shower filter cartridge
BG-F02</t>
        </is>
      </c>
      <c r="AE31" s="3" t="n"/>
    </row>
    <row r="32" ht="129.6" customHeight="1">
      <c r="A32" s="70" t="n"/>
      <c r="B32" s="72" t="inlineStr">
        <is>
          <t>Core</t>
        </is>
      </c>
      <c r="C32" s="69" t="inlineStr">
        <is>
          <t>SF-N2</t>
        </is>
      </c>
      <c r="D32" s="82" t="inlineStr">
        <is>
          <t>Shower Filter+ handheld shower head
Showe Filter media: 200g KDF+ 60g Calcium sulfite
6-inch Adjustable Wrench
Teflon Tape
Handle shower bracket
1.8 meters hose
Gift packing box</t>
        </is>
      </c>
      <c r="E32" s="70" t="inlineStr">
        <is>
          <t>Certification : SGS/ROHS /FDA</t>
        </is>
      </c>
      <c r="F32" s="70" t="inlineStr">
        <is>
          <t>Inline Shower Filter</t>
        </is>
      </c>
      <c r="G32" s="83" t="inlineStr">
        <is>
          <t>Derma Flux</t>
        </is>
      </c>
      <c r="H32" s="3" t="inlineStr">
        <is>
          <t>UC-SKW-DFS-025</t>
        </is>
      </c>
      <c r="I32" s="80" t="n">
        <v>47</v>
      </c>
      <c r="J32" s="70" t="n"/>
      <c r="K32" s="70">
        <f>IF(NOT(ISNUMBER(Table1[[#This Row],[Landing Cost]])),"",Table1[[#This Row],[Landing Cost]]*FX_USD_KES)</f>
        <v/>
      </c>
      <c r="L32" s="70">
        <f>IF(NOT(ISNUMBER(Table1[[#This Row],[Cost_KES]])),"",Table1[[#This Row],[Cost_KES]]*MULT_RETAIL_CORE)</f>
        <v/>
      </c>
      <c r="M32" s="71">
        <f>IF(NOT(ISNUMBER(Table1[[#This Row],[Retail_KES]])),"",IF(Table1[[#This Row],[Retail_KES]]&lt;=0,"",IF(Table1[[#This Row],[Retail_KES]]&gt;=10000, ROUNDUP(Table1[[#This Row],[Retail_KES]]/1000,0)*1000-10,
 IF(Table1[[#This Row],[Retail_KES]]&gt;=3000, ROUNDUP(Table1[[#This Row],[Retail_KES]]/100,0)*100-1,
 ROUNDUP(Table1[[#This Row],[Retail_KES]]/10,0)*10-0.01))))</f>
        <v/>
      </c>
      <c r="N32" s="70">
        <f>IFERROR(Table1[[#This Row],[Pychological  Pricing]]/FX_USD_KES,"")</f>
        <v/>
      </c>
      <c r="O32"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2" s="70">
        <f>IFERROR(Table1[[#This Row],[Wholesale_KES]]/FX_USD_KES,"")</f>
        <v/>
      </c>
      <c r="Q32"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2" s="70">
        <f>IFERROR(Table1[[#This Row],[Corporate_KES]]/FX_USD_KES,"")</f>
        <v/>
      </c>
      <c r="S32"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2" s="70">
        <f>IFERROR(Table1[[#This Row],[Influencer_KES]]/FX_USD_KES,"")</f>
        <v/>
      </c>
      <c r="U32" s="52" t="n"/>
      <c r="V32" s="70">
        <f>IF(NOT(ISNUMBER(Table1[[#This Row],[Pychological  Pricing]])),"",Table1[[#This Row],[Quantity]]*Table1[[#This Row],[Pychological  Pricing]])</f>
        <v/>
      </c>
      <c r="AA32" s="2" t="n"/>
      <c r="AB32" s="2" t="n"/>
      <c r="AC32" s="2" t="n"/>
      <c r="AD32" s="72" t="inlineStr">
        <is>
          <t>SF-N1</t>
        </is>
      </c>
      <c r="AE32" s="3" t="n"/>
    </row>
    <row r="33" ht="129.6" customHeight="1">
      <c r="A33" s="70" t="n"/>
      <c r="B33" s="72" t="inlineStr">
        <is>
          <t>Core</t>
        </is>
      </c>
      <c r="C33" s="69" t="inlineStr">
        <is>
          <t>SF-N3</t>
        </is>
      </c>
      <c r="D33" s="82" t="inlineStr">
        <is>
          <t>Shower Filter+ handheld shower head
Showe Filter media: 200g KDF+ 60g Calcium sulfite
6-inch Adjustable Wrench
Teflon Tape
Handle shower bracket
1.8 meters hose
Gift packing box</t>
        </is>
      </c>
      <c r="E33" s="70" t="inlineStr">
        <is>
          <t>Certification : SGS/ROHS /FDA</t>
        </is>
      </c>
      <c r="F33" s="70" t="inlineStr">
        <is>
          <t>Inline Shower Filter</t>
        </is>
      </c>
      <c r="G33" s="83" t="inlineStr">
        <is>
          <t>Derma Flux</t>
        </is>
      </c>
      <c r="H33" s="3" t="inlineStr">
        <is>
          <t>UC-SKW-DFS-026</t>
        </is>
      </c>
      <c r="I33" s="80" t="n">
        <v>45</v>
      </c>
      <c r="J33" s="70" t="n"/>
      <c r="K33" s="70">
        <f>IF(NOT(ISNUMBER(Table1[[#This Row],[Landing Cost]])),"",Table1[[#This Row],[Landing Cost]]*FX_USD_KES)</f>
        <v/>
      </c>
      <c r="L33" s="70">
        <f>IF(NOT(ISNUMBER(Table1[[#This Row],[Cost_KES]])),"",Table1[[#This Row],[Cost_KES]]*MULT_RETAIL_CORE)</f>
        <v/>
      </c>
      <c r="M33" s="71">
        <f>IF(NOT(ISNUMBER(Table1[[#This Row],[Retail_KES]])),"",IF(Table1[[#This Row],[Retail_KES]]&lt;=0,"",IF(Table1[[#This Row],[Retail_KES]]&gt;=10000, ROUNDUP(Table1[[#This Row],[Retail_KES]]/1000,0)*1000-10,
 IF(Table1[[#This Row],[Retail_KES]]&gt;=3000, ROUNDUP(Table1[[#This Row],[Retail_KES]]/100,0)*100-1,
 ROUNDUP(Table1[[#This Row],[Retail_KES]]/10,0)*10-0.01))))</f>
        <v/>
      </c>
      <c r="N33" s="70">
        <f>IFERROR(Table1[[#This Row],[Pychological  Pricing]]/FX_USD_KES,"")</f>
        <v/>
      </c>
      <c r="O33"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3" s="70">
        <f>IFERROR(Table1[[#This Row],[Wholesale_KES]]/FX_USD_KES,"")</f>
        <v/>
      </c>
      <c r="Q33"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3" s="70">
        <f>IFERROR(Table1[[#This Row],[Corporate_KES]]/FX_USD_KES,"")</f>
        <v/>
      </c>
      <c r="S33"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3" s="70">
        <f>IFERROR(Table1[[#This Row],[Influencer_KES]]/FX_USD_KES,"")</f>
        <v/>
      </c>
      <c r="U33" s="52" t="n"/>
      <c r="V33" s="70">
        <f>IF(NOT(ISNUMBER(Table1[[#This Row],[Pychological  Pricing]])),"",Table1[[#This Row],[Quantity]]*Table1[[#This Row],[Pychological  Pricing]])</f>
        <v/>
      </c>
      <c r="AA33" s="2" t="n"/>
      <c r="AB33" s="2" t="n"/>
      <c r="AC33" s="2" t="n"/>
      <c r="AD33" s="72" t="inlineStr">
        <is>
          <t>SF-N2</t>
        </is>
      </c>
      <c r="AE33" s="3" t="n"/>
    </row>
    <row r="34" ht="43.2" customHeight="1">
      <c r="A34" s="70" t="inlineStr">
        <is>
          <t>Skincare &amp; Wellness</t>
        </is>
      </c>
      <c r="B34" s="70" t="inlineStr">
        <is>
          <t>consumables</t>
        </is>
      </c>
      <c r="C34" s="69" t="inlineStr">
        <is>
          <t>SF-N3 Filter</t>
        </is>
      </c>
      <c r="D34" s="82" t="inlineStr">
        <is>
          <t>extra replace filter cartrdge
Showe Filter media: 200g KDF+ 60g Calcium sulfite</t>
        </is>
      </c>
      <c r="E34" s="70" t="inlineStr">
        <is>
          <t>Certification : SGS/ROHS /FDA</t>
        </is>
      </c>
      <c r="F34" s="70" t="inlineStr">
        <is>
          <t>Replacement Filter</t>
        </is>
      </c>
      <c r="G34" s="83" t="inlineStr">
        <is>
          <t xml:space="preserve">Derma Flux  Fiiter </t>
        </is>
      </c>
      <c r="H34" s="3" t="inlineStr">
        <is>
          <t>UC-SKW-DFO-027</t>
        </is>
      </c>
      <c r="I34" s="70" t="n">
        <v>7</v>
      </c>
      <c r="J34" s="70" t="n">
        <v>7</v>
      </c>
      <c r="K34" s="70">
        <f>IF(NOT(ISNUMBER(Table1[[#This Row],[Landing Cost]])),"",Table1[[#This Row],[Landing Cost]]*FX_USD_KES)</f>
        <v/>
      </c>
      <c r="L34" s="70">
        <f>IF(NOT(ISNUMBER(Table1[[#This Row],[Cost_KES]])),"",Table1[[#This Row],[Cost_KES]]*MULT_RETAIL_CORE)</f>
        <v/>
      </c>
      <c r="M34" s="71">
        <f>IF(NOT(ISNUMBER(Table1[[#This Row],[Retail_KES]])),"",IF(Table1[[#This Row],[Retail_KES]]&lt;=0,"",IF(Table1[[#This Row],[Retail_KES]]&gt;=10000, ROUNDUP(Table1[[#This Row],[Retail_KES]]/1000,0)*1000-10,
 IF(Table1[[#This Row],[Retail_KES]]&gt;=3000, ROUNDUP(Table1[[#This Row],[Retail_KES]]/100,0)*100-1,
 ROUNDUP(Table1[[#This Row],[Retail_KES]]/10,0)*10-0.01))))</f>
        <v/>
      </c>
      <c r="N34" s="70">
        <f>IFERROR(Table1[[#This Row],[Pychological  Pricing]]/FX_USD_KES,"")</f>
        <v/>
      </c>
      <c r="O34"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4" s="70">
        <f>IFERROR(Table1[[#This Row],[Wholesale_KES]]/FX_USD_KES,"")</f>
        <v/>
      </c>
      <c r="Q34"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4" s="70">
        <f>IFERROR(Table1[[#This Row],[Corporate_KES]]/FX_USD_KES,"")</f>
        <v/>
      </c>
      <c r="S34"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4" s="70">
        <f>IFERROR(Table1[[#This Row],[Influencer_KES]]/FX_USD_KES,"")</f>
        <v/>
      </c>
      <c r="U34" s="52" t="n">
        <v>2</v>
      </c>
      <c r="V34" s="70">
        <f>IF(NOT(ISNUMBER(Table1[[#This Row],[Pychological  Pricing]])),"",Table1[[#This Row],[Quantity]]*Table1[[#This Row],[Pychological  Pricing]])</f>
        <v/>
      </c>
      <c r="AD34" s="16" t="inlineStr">
        <is>
          <t xml:space="preserve">new straw filter
 BG-B12 </t>
        </is>
      </c>
    </row>
    <row r="35">
      <c r="A35" s="70" t="inlineStr">
        <is>
          <t>Home &amp; Utility</t>
        </is>
      </c>
      <c r="B35" s="70" t="inlineStr">
        <is>
          <t>consumables</t>
        </is>
      </c>
      <c r="C35" s="69" t="inlineStr">
        <is>
          <t>PP 10”</t>
        </is>
      </c>
      <c r="D35" s="75" t="n"/>
      <c r="E35" s="70" t="inlineStr">
        <is>
          <t>Certification : SGS/ROHS /FDA</t>
        </is>
      </c>
      <c r="F35" s="70" t="inlineStr">
        <is>
          <t>RO Replacemet Filter</t>
        </is>
      </c>
      <c r="G35" s="83" t="inlineStr">
        <is>
          <t>RO Replacement</t>
        </is>
      </c>
      <c r="H35" s="80" t="inlineStr">
        <is>
          <t>UC-HOU-ROP-PP</t>
        </is>
      </c>
      <c r="I35" s="70" t="n">
        <v>0.35</v>
      </c>
      <c r="J35" s="70" t="n">
        <v>0.35</v>
      </c>
      <c r="K35" s="70">
        <f>IF(NOT(ISNUMBER(Table1[[#This Row],[Landing Cost]])),"",Table1[[#This Row],[Landing Cost]]*FX_USD_KES)</f>
        <v/>
      </c>
      <c r="L35" s="70">
        <f>IF(NOT(ISNUMBER(Table1[[#This Row],[Cost_KES]])),"",Table1[[#This Row],[Cost_KES]]*MULT_RETAIL_CORE)</f>
        <v/>
      </c>
      <c r="M35" s="71">
        <f>IF(NOT(ISNUMBER(Table1[[#This Row],[Retail_KES]])),"",IF(Table1[[#This Row],[Retail_KES]]&lt;=0,"",IF(Table1[[#This Row],[Retail_KES]]&gt;=10000, ROUNDUP(Table1[[#This Row],[Retail_KES]]/1000,0)*1000-10,
 IF(Table1[[#This Row],[Retail_KES]]&gt;=3000, ROUNDUP(Table1[[#This Row],[Retail_KES]]/100,0)*100-1,
 ROUNDUP(Table1[[#This Row],[Retail_KES]]/10,0)*10-0.01))))</f>
        <v/>
      </c>
      <c r="N35" s="70">
        <f>IFERROR(Table1[[#This Row],[Pychological  Pricing]]/FX_USD_KES,"")</f>
        <v/>
      </c>
      <c r="O35"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5" s="70">
        <f>IFERROR(Table1[[#This Row],[Wholesale_KES]]/FX_USD_KES,"")</f>
        <v/>
      </c>
      <c r="Q35"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5" s="70">
        <f>IFERROR(Table1[[#This Row],[Corporate_KES]]/FX_USD_KES,"")</f>
        <v/>
      </c>
      <c r="S35"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5" s="70">
        <f>IFERROR(Table1[[#This Row],[Influencer_KES]]/FX_USD_KES,"")</f>
        <v/>
      </c>
      <c r="U35" s="52" t="n"/>
      <c r="V35" s="70">
        <f>IF(NOT(ISNUMBER(Table1[[#This Row],[Pychological  Pricing]])),"",Table1[[#This Row],[Quantity]]*Table1[[#This Row],[Pychological  Pricing]])</f>
        <v/>
      </c>
      <c r="AD35" s="25" t="inlineStr">
        <is>
          <t>E01</t>
        </is>
      </c>
    </row>
    <row r="36">
      <c r="A36" s="70" t="inlineStr">
        <is>
          <t>Home &amp; Utility</t>
        </is>
      </c>
      <c r="B36" s="70" t="inlineStr">
        <is>
          <t>consumables</t>
        </is>
      </c>
      <c r="C36" s="69" t="inlineStr">
        <is>
          <t>UDF 10”</t>
        </is>
      </c>
      <c r="D36" s="75" t="n"/>
      <c r="E36" s="70" t="inlineStr">
        <is>
          <t>Certification : SGS/ROHS /FDA</t>
        </is>
      </c>
      <c r="F36" s="70" t="inlineStr">
        <is>
          <t>RO Replacemet Filter</t>
        </is>
      </c>
      <c r="G36" s="83" t="inlineStr">
        <is>
          <t>RO Replacement</t>
        </is>
      </c>
      <c r="H36" s="80" t="inlineStr">
        <is>
          <t>UC-HOU-ROP-UDF</t>
        </is>
      </c>
      <c r="I36" s="70" t="n">
        <v>3</v>
      </c>
      <c r="J36" s="70" t="n">
        <v>3</v>
      </c>
      <c r="K36" s="70">
        <f>IF(NOT(ISNUMBER(Table1[[#This Row],[Landing Cost]])),"",Table1[[#This Row],[Landing Cost]]*FX_USD_KES)</f>
        <v/>
      </c>
      <c r="L36" s="70">
        <f>IF(NOT(ISNUMBER(Table1[[#This Row],[Cost_KES]])),"",Table1[[#This Row],[Cost_KES]]*MULT_RETAIL_CORE)</f>
        <v/>
      </c>
      <c r="M36" s="71">
        <f>IF(NOT(ISNUMBER(Table1[[#This Row],[Retail_KES]])),"",IF(Table1[[#This Row],[Retail_KES]]&lt;=0,"",IF(Table1[[#This Row],[Retail_KES]]&gt;=10000, ROUNDUP(Table1[[#This Row],[Retail_KES]]/1000,0)*1000-10,
 IF(Table1[[#This Row],[Retail_KES]]&gt;=3000, ROUNDUP(Table1[[#This Row],[Retail_KES]]/100,0)*100-1,
 ROUNDUP(Table1[[#This Row],[Retail_KES]]/10,0)*10-0.01))))</f>
        <v/>
      </c>
      <c r="N36" s="70">
        <f>IFERROR(Table1[[#This Row],[Pychological  Pricing]]/FX_USD_KES,"")</f>
        <v/>
      </c>
      <c r="O36"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6" s="70">
        <f>IFERROR(Table1[[#This Row],[Wholesale_KES]]/FX_USD_KES,"")</f>
        <v/>
      </c>
      <c r="Q36"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6" s="70">
        <f>IFERROR(Table1[[#This Row],[Corporate_KES]]/FX_USD_KES,"")</f>
        <v/>
      </c>
      <c r="S36"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6" s="70">
        <f>IFERROR(Table1[[#This Row],[Influencer_KES]]/FX_USD_KES,"")</f>
        <v/>
      </c>
      <c r="U36" s="52" t="n"/>
      <c r="V36" s="70">
        <f>IF(NOT(ISNUMBER(Table1[[#This Row],[Pychological  Pricing]])),"",Table1[[#This Row],[Quantity]]*Table1[[#This Row],[Pychological  Pricing]])</f>
        <v/>
      </c>
      <c r="AD36" s="25" t="inlineStr">
        <is>
          <t>B08-1000ml</t>
        </is>
      </c>
    </row>
    <row r="37">
      <c r="A37" s="70" t="inlineStr">
        <is>
          <t>Home &amp; Utility</t>
        </is>
      </c>
      <c r="B37" s="70" t="inlineStr">
        <is>
          <t>consumables</t>
        </is>
      </c>
      <c r="C37" s="69" t="inlineStr">
        <is>
          <t>CTO 10”</t>
        </is>
      </c>
      <c r="D37" s="75" t="n"/>
      <c r="E37" s="70" t="inlineStr">
        <is>
          <t>Certification : SGS/ROHS /FDA</t>
        </is>
      </c>
      <c r="F37" s="70" t="inlineStr">
        <is>
          <t>RO Replacemet Filter</t>
        </is>
      </c>
      <c r="G37" s="83" t="inlineStr">
        <is>
          <t>RO Replacement</t>
        </is>
      </c>
      <c r="H37" s="80" t="inlineStr">
        <is>
          <t>UC-HOU-ROP-CTO</t>
        </is>
      </c>
      <c r="I37" s="70" t="n">
        <v>3</v>
      </c>
      <c r="J37" s="70" t="n">
        <v>3</v>
      </c>
      <c r="K37" s="70">
        <f>IF(NOT(ISNUMBER(Table1[[#This Row],[Landing Cost]])),"",Table1[[#This Row],[Landing Cost]]*FX_USD_KES)</f>
        <v/>
      </c>
      <c r="L37" s="70">
        <f>IF(NOT(ISNUMBER(Table1[[#This Row],[Cost_KES]])),"",Table1[[#This Row],[Cost_KES]]*MULT_RETAIL_CORE)</f>
        <v/>
      </c>
      <c r="M37" s="71">
        <f>IF(NOT(ISNUMBER(Table1[[#This Row],[Retail_KES]])),"",IF(Table1[[#This Row],[Retail_KES]]&lt;=0,"",IF(Table1[[#This Row],[Retail_KES]]&gt;=10000, ROUNDUP(Table1[[#This Row],[Retail_KES]]/1000,0)*1000-10,
 IF(Table1[[#This Row],[Retail_KES]]&gt;=3000, ROUNDUP(Table1[[#This Row],[Retail_KES]]/100,0)*100-1,
 ROUNDUP(Table1[[#This Row],[Retail_KES]]/10,0)*10-0.01))))</f>
        <v/>
      </c>
      <c r="N37" s="70">
        <f>IFERROR(Table1[[#This Row],[Pychological  Pricing]]/FX_USD_KES,"")</f>
        <v/>
      </c>
      <c r="O37"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7" s="70">
        <f>IFERROR(Table1[[#This Row],[Wholesale_KES]]/FX_USD_KES,"")</f>
        <v/>
      </c>
      <c r="Q37"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7" s="70">
        <f>IFERROR(Table1[[#This Row],[Corporate_KES]]/FX_USD_KES,"")</f>
        <v/>
      </c>
      <c r="S37"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7" s="70">
        <f>IFERROR(Table1[[#This Row],[Influencer_KES]]/FX_USD_KES,"")</f>
        <v/>
      </c>
      <c r="U37" s="52" t="n"/>
      <c r="V37" s="70">
        <f>IF(NOT(ISNUMBER(Table1[[#This Row],[Pychological  Pricing]])),"",Table1[[#This Row],[Quantity]]*Table1[[#This Row],[Pychological  Pricing]])</f>
        <v/>
      </c>
      <c r="AD37" s="42" t="inlineStr">
        <is>
          <t>ER800-4 Auto flush</t>
        </is>
      </c>
    </row>
    <row r="38">
      <c r="A38" s="70" t="inlineStr">
        <is>
          <t>Home &amp; Utility</t>
        </is>
      </c>
      <c r="B38" s="70" t="inlineStr">
        <is>
          <t>consumables</t>
        </is>
      </c>
      <c r="C38" s="69" t="inlineStr">
        <is>
          <t>RO membrane 100GPD</t>
        </is>
      </c>
      <c r="D38" s="75" t="n"/>
      <c r="E38" s="70" t="inlineStr">
        <is>
          <t>Certification : SGS/ROHS /FDA</t>
        </is>
      </c>
      <c r="F38" s="70" t="inlineStr">
        <is>
          <t>RO Replacemet Filter</t>
        </is>
      </c>
      <c r="G38" s="83" t="inlineStr">
        <is>
          <t>RO Replacement</t>
        </is>
      </c>
      <c r="H38" s="80" t="inlineStr">
        <is>
          <t>UC-HOU-ROM-100g</t>
        </is>
      </c>
      <c r="I38" s="70" t="n">
        <v>4.5</v>
      </c>
      <c r="J38" s="70" t="n">
        <v>4.5</v>
      </c>
      <c r="K38" s="70">
        <f>IF(NOT(ISNUMBER(Table1[[#This Row],[Landing Cost]])),"",Table1[[#This Row],[Landing Cost]]*FX_USD_KES)</f>
        <v/>
      </c>
      <c r="L38" s="70">
        <f>IF(NOT(ISNUMBER(Table1[[#This Row],[Cost_KES]])),"",Table1[[#This Row],[Cost_KES]]*MULT_RETAIL_CORE)</f>
        <v/>
      </c>
      <c r="M38" s="71">
        <f>IF(NOT(ISNUMBER(Table1[[#This Row],[Retail_KES]])),"",IF(Table1[[#This Row],[Retail_KES]]&lt;=0,"",IF(Table1[[#This Row],[Retail_KES]]&gt;=10000, ROUNDUP(Table1[[#This Row],[Retail_KES]]/1000,0)*1000-10,
 IF(Table1[[#This Row],[Retail_KES]]&gt;=3000, ROUNDUP(Table1[[#This Row],[Retail_KES]]/100,0)*100-1,
 ROUNDUP(Table1[[#This Row],[Retail_KES]]/10,0)*10-0.01))))</f>
        <v/>
      </c>
      <c r="N38" s="70">
        <f>IFERROR(Table1[[#This Row],[Pychological  Pricing]]/FX_USD_KES,"")</f>
        <v/>
      </c>
      <c r="O38"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8" s="70">
        <f>IFERROR(Table1[[#This Row],[Wholesale_KES]]/FX_USD_KES,"")</f>
        <v/>
      </c>
      <c r="Q38"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8" s="70">
        <f>IFERROR(Table1[[#This Row],[Corporate_KES]]/FX_USD_KES,"")</f>
        <v/>
      </c>
      <c r="S38"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8" s="70">
        <f>IFERROR(Table1[[#This Row],[Influencer_KES]]/FX_USD_KES,"")</f>
        <v/>
      </c>
      <c r="U38" s="52" t="n"/>
      <c r="V38" s="70">
        <f>IF(NOT(ISNUMBER(Table1[[#This Row],[Pychological  Pricing]])),"",Table1[[#This Row],[Quantity]]*Table1[[#This Row],[Pychological  Pricing]])</f>
        <v/>
      </c>
      <c r="AD38" s="42" t="inlineStr">
        <is>
          <t>ET-2S</t>
        </is>
      </c>
    </row>
    <row r="39">
      <c r="A39" s="70" t="inlineStr">
        <is>
          <t>Home &amp; Utility</t>
        </is>
      </c>
      <c r="B39" s="70" t="inlineStr">
        <is>
          <t>consumables</t>
        </is>
      </c>
      <c r="C39" s="69" t="inlineStr">
        <is>
          <t>Yellow mineral T33</t>
        </is>
      </c>
      <c r="D39" s="75" t="inlineStr">
        <is>
          <t>Yellow mineral T33 for RO machine</t>
        </is>
      </c>
      <c r="E39" s="70" t="inlineStr">
        <is>
          <t>Certification : SGS/ROHS /FDA</t>
        </is>
      </c>
      <c r="F39" s="70" t="inlineStr">
        <is>
          <t>RO Replacemet Filter</t>
        </is>
      </c>
      <c r="G39" s="83" t="inlineStr">
        <is>
          <t>RO Replacement</t>
        </is>
      </c>
      <c r="H39" s="80" t="inlineStr">
        <is>
          <t>UC-HOU-RO-YMT33</t>
        </is>
      </c>
      <c r="I39" s="70" t="n">
        <v>1.2</v>
      </c>
      <c r="J39" s="70" t="n">
        <v>1.2</v>
      </c>
      <c r="K39" s="70">
        <f>IF(NOT(ISNUMBER(Table1[[#This Row],[Landing Cost]])),"",Table1[[#This Row],[Landing Cost]]*FX_USD_KES)</f>
        <v/>
      </c>
      <c r="L39" s="70">
        <f>IF(NOT(ISNUMBER(Table1[[#This Row],[Cost_KES]])),"",Table1[[#This Row],[Cost_KES]]*MULT_RETAIL_CORE)</f>
        <v/>
      </c>
      <c r="M39" s="71">
        <f>IF(NOT(ISNUMBER(Table1[[#This Row],[Retail_KES]])),"",IF(Table1[[#This Row],[Retail_KES]]&lt;=0,"",IF(Table1[[#This Row],[Retail_KES]]&gt;=10000, ROUNDUP(Table1[[#This Row],[Retail_KES]]/1000,0)*1000-10,
 IF(Table1[[#This Row],[Retail_KES]]&gt;=3000, ROUNDUP(Table1[[#This Row],[Retail_KES]]/100,0)*100-1,
 ROUNDUP(Table1[[#This Row],[Retail_KES]]/10,0)*10-0.01))))</f>
        <v/>
      </c>
      <c r="N39" s="70">
        <f>IFERROR(Table1[[#This Row],[Pychological  Pricing]]/FX_USD_KES,"")</f>
        <v/>
      </c>
      <c r="O39"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39" s="70">
        <f>IFERROR(Table1[[#This Row],[Wholesale_KES]]/FX_USD_KES,"")</f>
        <v/>
      </c>
      <c r="Q39"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39" s="70">
        <f>IFERROR(Table1[[#This Row],[Corporate_KES]]/FX_USD_KES,"")</f>
        <v/>
      </c>
      <c r="S39"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39" s="70">
        <f>IFERROR(Table1[[#This Row],[Influencer_KES]]/FX_USD_KES,"")</f>
        <v/>
      </c>
      <c r="U39" s="52" t="n"/>
      <c r="V39" s="70">
        <f>IF(NOT(ISNUMBER(Table1[[#This Row],[Pychological  Pricing]])),"",Table1[[#This Row],[Quantity]]*Table1[[#This Row],[Pychological  Pricing]])</f>
        <v/>
      </c>
      <c r="AD39" s="42" t="inlineStr">
        <is>
          <t>MF1080-S</t>
        </is>
      </c>
    </row>
    <row r="40" ht="15" customHeight="1">
      <c r="A40" s="70" t="inlineStr">
        <is>
          <t>Home &amp; Utility</t>
        </is>
      </c>
      <c r="B40" s="70" t="inlineStr">
        <is>
          <t>consumables</t>
        </is>
      </c>
      <c r="C40" s="69" t="inlineStr">
        <is>
          <t>Post Carbon T33</t>
        </is>
      </c>
      <c r="D40" s="81" t="inlineStr">
        <is>
          <t>Post Carbon T33</t>
        </is>
      </c>
      <c r="E40" s="70" t="inlineStr">
        <is>
          <t>Certification : SGS/ROHS /FDA</t>
        </is>
      </c>
      <c r="F40" s="70" t="inlineStr">
        <is>
          <t>RO Replacemet Filter</t>
        </is>
      </c>
      <c r="G40" s="83" t="inlineStr">
        <is>
          <t>RO Replacement</t>
        </is>
      </c>
      <c r="H40" s="80" t="inlineStr">
        <is>
          <t>UC-HOU-RO-CBT33</t>
        </is>
      </c>
      <c r="I40" s="70" t="n">
        <v>2</v>
      </c>
      <c r="J40" s="70" t="n">
        <v>2</v>
      </c>
      <c r="K40" s="70">
        <f>IF(NOT(ISNUMBER(Table1[[#This Row],[Landing Cost]])),"",Table1[[#This Row],[Landing Cost]]*FX_USD_KES)</f>
        <v/>
      </c>
      <c r="L40" s="70">
        <f>IF(NOT(ISNUMBER(Table1[[#This Row],[Cost_KES]])),"",Table1[[#This Row],[Cost_KES]]*MULT_RETAIL_CORE)</f>
        <v/>
      </c>
      <c r="M40" s="71">
        <f>IF(NOT(ISNUMBER(Table1[[#This Row],[Retail_KES]])),"",IF(Table1[[#This Row],[Retail_KES]]&lt;=0,"",IF(Table1[[#This Row],[Retail_KES]]&gt;=10000, ROUNDUP(Table1[[#This Row],[Retail_KES]]/1000,0)*1000-10,
 IF(Table1[[#This Row],[Retail_KES]]&gt;=3000, ROUNDUP(Table1[[#This Row],[Retail_KES]]/100,0)*100-1,
 ROUNDUP(Table1[[#This Row],[Retail_KES]]/10,0)*10-0.01))))</f>
        <v/>
      </c>
      <c r="N40" s="70">
        <f>IFERROR(Table1[[#This Row],[Pychological  Pricing]]/FX_USD_KES,"")</f>
        <v/>
      </c>
      <c r="O40"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40" s="70">
        <f>IFERROR(Table1[[#This Row],[Wholesale_KES]]/FX_USD_KES,"")</f>
        <v/>
      </c>
      <c r="Q40"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40" s="70">
        <f>IFERROR(Table1[[#This Row],[Corporate_KES]]/FX_USD_KES,"")</f>
        <v/>
      </c>
      <c r="S40"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40" s="70">
        <f>IFERROR(Table1[[#This Row],[Influencer_KES]]/FX_USD_KES,"")</f>
        <v/>
      </c>
      <c r="U40" s="52" t="n"/>
      <c r="V40" s="70">
        <f>IF(NOT(ISNUMBER(Table1[[#This Row],[Pychological  Pricing]])),"",Table1[[#This Row],[Quantity]]*Table1[[#This Row],[Pychological  Pricing]])</f>
        <v/>
      </c>
      <c r="AD40" s="42" t="inlineStr">
        <is>
          <t>MF1080-D</t>
        </is>
      </c>
    </row>
    <row r="41" ht="230.4" customHeight="1">
      <c r="A41" s="70" t="inlineStr">
        <is>
          <t>Bottles &amp; On-the-Go</t>
        </is>
      </c>
      <c r="B41" s="70" t="inlineStr">
        <is>
          <t>Core</t>
        </is>
      </c>
      <c r="C41" s="69" t="n"/>
      <c r="D41" s="82" t="inlineStr">
        <is>
          <t xml:space="preserve">Product name：Portable Electric Water Purifier
Model NO : E01
Main material: Food-grade ABS
Color: Green(other colors available)
Filter material: AHLSTROM +UF
Rated filtering water : 1000L
Function : *2 stages purification,Remove yellow mud, 99.99% bacteria, 99.99% microorganisms,5200mAh battery, long endurance,Camping lamp function,SOS emergency light function,Solar charging function.
Product size : 180*82*60mm
Package including: 1 * E01 Water Filter,1 * Pre-filter Cartridge 1 * Inlet Hose,1 * Outlet Hose 1 * USB Charging Cable ,1 * Carrying Case 1 * User Manual
Suggestion change filter time : 6 months
</t>
        </is>
      </c>
      <c r="E41" s="70" t="inlineStr">
        <is>
          <t>Certification : SGS/Rohs/CE/FCC</t>
        </is>
      </c>
      <c r="F41" s="70" t="inlineStr">
        <is>
          <t>solar Power Water Filter</t>
        </is>
      </c>
      <c r="G41" s="83" t="inlineStr">
        <is>
          <t>Ecosmart Filter</t>
        </is>
      </c>
      <c r="H41" s="80" t="inlineStr">
        <is>
          <t>UC-BOG-ECO-ECF1</t>
        </is>
      </c>
      <c r="I41" s="80" t="n">
        <v>40</v>
      </c>
      <c r="J41" s="70" t="n">
        <v>43</v>
      </c>
      <c r="K41" s="70">
        <f>IF(NOT(ISNUMBER(Table1[[#This Row],[Landing Cost]])),"",Table1[[#This Row],[Landing Cost]]*FX_USD_KES)</f>
        <v/>
      </c>
      <c r="L41" s="70">
        <f>IF(NOT(ISNUMBER(Table1[[#This Row],[Cost_KES]])),"",Table1[[#This Row],[Cost_KES]]*MULT_RETAIL_CORE)</f>
        <v/>
      </c>
      <c r="M41" s="71">
        <f>IF(NOT(ISNUMBER(Table1[[#This Row],[Retail_KES]])),"",IF(Table1[[#This Row],[Retail_KES]]&lt;=0,"",IF(Table1[[#This Row],[Retail_KES]]&gt;=10000, ROUNDUP(Table1[[#This Row],[Retail_KES]]/1000,0)*1000-10,
 IF(Table1[[#This Row],[Retail_KES]]&gt;=3000, ROUNDUP(Table1[[#This Row],[Retail_KES]]/100,0)*100-1,
 ROUNDUP(Table1[[#This Row],[Retail_KES]]/10,0)*10-0.01))))</f>
        <v/>
      </c>
      <c r="N41" s="70">
        <f>IFERROR(Table1[[#This Row],[Pychological  Pricing]]/FX_USD_KES,"")</f>
        <v/>
      </c>
      <c r="O41"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41" s="70">
        <f>IFERROR(Table1[[#This Row],[Wholesale_KES]]/FX_USD_KES,"")</f>
        <v/>
      </c>
      <c r="Q41"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41" s="70">
        <f>IFERROR(Table1[[#This Row],[Corporate_KES]]/FX_USD_KES,"")</f>
        <v/>
      </c>
      <c r="S41"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41" s="70">
        <f>IFERROR(Table1[[#This Row],[Influencer_KES]]/FX_USD_KES,"")</f>
        <v/>
      </c>
      <c r="U41" s="52" t="n"/>
      <c r="V41" s="70">
        <f>IF(NOT(ISNUMBER(Table1[[#This Row],[Pychological  Pricing]])),"",Table1[[#This Row],[Quantity]]*Table1[[#This Row],[Pychological  Pricing]])</f>
        <v/>
      </c>
    </row>
    <row r="42">
      <c r="A42" s="70" t="inlineStr">
        <is>
          <t>Home &amp; Utility</t>
        </is>
      </c>
      <c r="B42" s="70" t="inlineStr">
        <is>
          <t>Core</t>
        </is>
      </c>
      <c r="C42" s="69" t="inlineStr">
        <is>
          <t>MT-0.5</t>
        </is>
      </c>
      <c r="D42" s="75" t="inlineStr">
        <is>
          <t>Mini Water Tank 0.5G — pressure/storage tank for RO systems</t>
        </is>
      </c>
      <c r="E42" s="70" t="inlineStr"/>
      <c r="F42" s="70" t="inlineStr">
        <is>
          <t>Mini Water Tank</t>
        </is>
      </c>
      <c r="G42" s="83" t="inlineStr">
        <is>
          <t>RO Mini Tank</t>
        </is>
      </c>
      <c r="H42" s="80" t="inlineStr">
        <is>
          <t>UC-HOU-ROT-029</t>
        </is>
      </c>
      <c r="I42" s="80" t="n">
        <v>9</v>
      </c>
      <c r="J42" s="70" t="inlineStr"/>
      <c r="K42" s="70">
        <f>IF(NOT(ISNUMBER(Table1[[#This Row],[Landing Cost]])),"",Table1[[#This Row],[Landing Cost]]*FX_USD_KES)</f>
        <v/>
      </c>
      <c r="L42" s="70">
        <f>IF(NOT(ISNUMBER(Table1[[#This Row],[Cost_KES]])),"",Table1[[#This Row],[Cost_KES]]*MULT_RETAIL_CORE)</f>
        <v/>
      </c>
      <c r="M42" s="71">
        <f>IF(NOT(ISNUMBER(Table1[[#This Row],[Retail_KES]])),"",IF(Table1[[#This Row],[Retail_KES]]&lt;=0,"",IF(Table1[[#This Row],[Retail_KES]]&gt;=10000, ROUNDUP(Table1[[#This Row],[Retail_KES]]/1000,0)*1000-10, IF(Table1[[#This Row],[Retail_KES]]&gt;=3000, ROUNDUP(Table1[[#This Row],[Retail_KES]]/100,0)*100-1, ROUNDUP(Table1[[#This Row],[Retail_KES]]/10,0)*10-0.01))))</f>
        <v/>
      </c>
      <c r="N42" s="70">
        <f>IFERROR(Table1[[#This Row],[Pychological  Pricing]]/FX_USD_KES,"")</f>
        <v/>
      </c>
      <c r="O42" s="71">
        <f>IF(NOT(ISNUMBER(Table1[[#This Row],[Retail_KES]])),"",IF(Table1[[#This Row],[Retail_KES]]&lt;=0,"",IF(Table1[[#This Row],[Retail_KES]]&gt;=10000, ROUNDUP(Table1[[#This Row],[Retail_KES]]*RATE_WHOLESALE/1000,0)*1000-10, IF(Table1[[#This Row],[Retail_KES]]&gt;=3000, ROUNDUP(Table1[[#This Row],[Retail_KES]]*RATE_WHOLESALE/100,0)*100-1, ROUNDUP(Table1[[#This Row],[Retail_KES]]*RATE_WHOLESALE/10,0)*10-0.01))))</f>
        <v/>
      </c>
      <c r="P42" s="70">
        <f>IFERROR(Table1[[#This Row],[Wholesale_KES]]/FX_USD_KES,"")</f>
        <v/>
      </c>
      <c r="Q42" s="71">
        <f>IF(NOT(ISNUMBER(Table1[[#This Row],[Retail_KES]])),"",IF(Table1[[#This Row],[Retail_KES]]&lt;=0,"",IF(Table1[[#This Row],[Retail_KES]]&gt;=10000, ROUNDUP(Table1[[#This Row],[Retail_KES]]*RATE_CORPORATE/1000,0)*1000-10, IF(Table1[[#This Row],[Retail_KES]]&gt;=3000, ROUNDUP(Table1[[#This Row],[Retail_KES]]*RATE_CORPORATE/100,0)*100-1, ROUNDUP(Table1[[#This Row],[Retail_KES]]*RATE_CORPORATE/10,0)*10-0.01))))</f>
        <v/>
      </c>
      <c r="R42" s="70">
        <f>IFERROR(Table1[[#This Row],[Corporate_KES]]/FX_USD_KES,"")</f>
        <v/>
      </c>
      <c r="S42" s="71">
        <f>IF(NOT(ISNUMBER(Table1[[#This Row],[Retail_KES]])),"",IF(Table1[[#This Row],[Retail_KES]]&lt;=0,"",IF(Table1[[#This Row],[Retail_KES]]&gt;=10000, ROUNDUP(Table1[[#This Row],[Retail_KES]]*RATE_INFLUENCER/1000,0)*1000-10, IF(Table1[[#This Row],[Retail_KES]]&gt;=3000, ROUNDUP(Table1[[#This Row],[Retail_KES]]*RATE_INFLUENCER/100,0)*100-1, ROUNDUP(Table1[[#This Row],[Retail_KES]]*RATE_INFLUENCER/10,0)*10-0.01))))</f>
        <v/>
      </c>
      <c r="T42" s="70">
        <f>IFERROR(Table1[[#This Row],[Influencer_KES]]/FX_USD_KES,"")</f>
        <v/>
      </c>
      <c r="U42" s="52" t="n">
        <v>0</v>
      </c>
      <c r="V42" s="70">
        <f>IF(NOT(ISNUMBER(Table1[[#This Row],[Pychological  Pricing]])),"",Table1[[#This Row],[Quantity]]*Table1[[#This Row],[Pychological  Pricing]])</f>
        <v/>
      </c>
      <c r="AD42" s="42" t="inlineStr">
        <is>
          <t>SF-N3</t>
        </is>
      </c>
    </row>
    <row r="43">
      <c r="H43" s="88" t="inlineStr">
        <is>
          <t>TOTAL (rows 2-41)</t>
        </is>
      </c>
      <c r="I43" s="88">
        <f>SUM(I2:I41)</f>
        <v/>
      </c>
      <c r="J43" s="88">
        <f>SUM(J2:J41)</f>
        <v/>
      </c>
      <c r="K43" s="88">
        <f>SUM(K2:K41)</f>
        <v/>
      </c>
      <c r="L43" s="88">
        <f>SUM(L2:L41)</f>
        <v/>
      </c>
      <c r="M43" s="88">
        <f>SUM(M2:M41)</f>
        <v/>
      </c>
      <c r="N43" s="88">
        <f>SUM(N2:N41)</f>
        <v/>
      </c>
      <c r="O43" s="88">
        <f>SUM(O2:O41)</f>
        <v/>
      </c>
      <c r="P43" s="88">
        <f>SUM(P2:P41)</f>
        <v/>
      </c>
      <c r="Q43" s="88">
        <f>SUM(Q2:Q41)</f>
        <v/>
      </c>
      <c r="R43" s="88">
        <f>SUM(R2:R41)</f>
        <v/>
      </c>
      <c r="S43" s="88">
        <f>SUM(S2:S41)</f>
        <v/>
      </c>
      <c r="T43" s="88">
        <f>SUM(T2:T41)</f>
        <v/>
      </c>
      <c r="U43" s="88">
        <f>SUM(U2:U41)</f>
        <v/>
      </c>
      <c r="V43" s="88">
        <f>SUM(V2:V41)</f>
        <v/>
      </c>
      <c r="AD43" s="42" t="inlineStr">
        <is>
          <t>6 stage plastic stand bracket RO unit</t>
        </is>
      </c>
    </row>
    <row r="44">
      <c r="AD44" s="42" t="inlineStr">
        <is>
          <t>Commercial RO Water Filter System 1200GPD</t>
        </is>
      </c>
    </row>
    <row r="45">
      <c r="AD45" s="42" t="inlineStr">
        <is>
          <t xml:space="preserve"> Squeeze 500ml Cycling Bottle.</t>
        </is>
      </c>
    </row>
    <row r="46">
      <c r="AD46" s="42" t="inlineStr">
        <is>
          <t>Tritan Bottle Filter Cap</t>
        </is>
      </c>
    </row>
    <row r="47">
      <c r="AD47" s="42" t="inlineStr">
        <is>
          <t>Straw Filter Only</t>
        </is>
      </c>
    </row>
    <row r="48">
      <c r="AD48" s="42" t="inlineStr">
        <is>
          <t>Bottles Filter Shell</t>
        </is>
      </c>
    </row>
    <row r="49">
      <c r="AD49" s="42" t="inlineStr">
        <is>
          <t>SF-N3 Filter</t>
        </is>
      </c>
    </row>
  </sheetData>
  <mergeCells count="7">
    <mergeCell ref="AD22:AD23"/>
    <mergeCell ref="AD16:AD17"/>
    <mergeCell ref="AD24:AD25"/>
    <mergeCell ref="AD18:AD19"/>
    <mergeCell ref="AD13:AD14"/>
    <mergeCell ref="AD8:AD9"/>
    <mergeCell ref="AD10:AD12"/>
  </mergeCells>
  <dataValidations count="2">
    <dataValidation sqref="B2:B42 C35:C42 E42 X18:X20" showDropDown="0" showInputMessage="1" showErrorMessage="1" allowBlank="1" type="list">
      <formula1>$X$18:$X$19</formula1>
    </dataValidation>
    <dataValidation sqref="C2:C34" showDropDown="0" showInputMessage="1" showErrorMessage="1" allowBlank="1" type="list">
      <formula1>$AD$7:$AD$51</formula1>
    </dataValidation>
  </dataValidations>
  <pageMargins left="0.7" right="0.7" top="0.75" bottom="0.75" header="0.3" footer="0.3"/>
  <legacyDrawing xmlns:r="http://schemas.openxmlformats.org/officeDocument/2006/relationships" r:id="anysvml"/>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8.xml><?xml version="1.0" encoding="utf-8"?>
<worksheet xmlns="http://schemas.openxmlformats.org/spreadsheetml/2006/main">
  <sheetPr>
    <outlinePr summaryBelow="1" summaryRight="1"/>
    <pageSetUpPr/>
  </sheetPr>
  <dimension ref="A1:E52"/>
  <sheetViews>
    <sheetView workbookViewId="0">
      <pane ySplit="21" topLeftCell="A22" activePane="bottomLeft" state="frozen"/>
      <selection pane="bottomLeft" activeCell="A1" sqref="A1"/>
    </sheetView>
  </sheetViews>
  <sheetFormatPr baseColWidth="8" defaultRowHeight="15"/>
  <cols>
    <col width="4" customWidth="1" min="1" max="1"/>
    <col width="30" customWidth="1" min="2" max="2"/>
    <col width="14" customWidth="1" min="3" max="3"/>
    <col width="96" customWidth="1" min="4" max="4"/>
  </cols>
  <sheetData>
    <row r="1">
      <c r="B1" s="89" t="inlineStr">
        <is>
          <t>GUARDRAILS — the rules every future build must pass</t>
        </is>
      </c>
    </row>
    <row r="2">
      <c r="B2" t="inlineStr">
        <is>
          <t>Nothing below is typed twice. Change a parameter here and every price, every floor and every gate follows it.</t>
        </is>
      </c>
    </row>
    <row r="4">
      <c r="B4" s="103" t="inlineStr">
        <is>
          <t>PARAMETERS</t>
        </is>
      </c>
    </row>
    <row r="5">
      <c r="B5" s="88" t="inlineStr">
        <is>
          <t>R4_MARKUP</t>
        </is>
      </c>
      <c r="C5" s="107" t="n">
        <v>1.35</v>
      </c>
      <c r="D5" s="91" t="inlineStr">
        <is>
          <t>Required gross markup on cost, before VAT. Policy.</t>
        </is>
      </c>
    </row>
    <row r="6">
      <c r="B6" s="88" t="inlineStr">
        <is>
          <t>VAT_RATE</t>
        </is>
      </c>
      <c r="C6" s="107" t="n">
        <v>0.16</v>
      </c>
      <c r="D6" s="91" t="inlineStr">
        <is>
          <t>Kenya VAT. Prices are quoted VAT-INCLUSIVE, so the floor must carry it.</t>
        </is>
      </c>
    </row>
    <row r="7" ht="44" customHeight="1">
      <c r="B7" s="88" t="inlineStr">
        <is>
          <t>VAT_REGISTERED</t>
        </is>
      </c>
      <c r="C7" s="110" t="inlineStr">
        <is>
          <t>NO</t>
        </is>
      </c>
      <c r="D7" s="91" t="inlineStr">
        <is>
          <t>F-9 FINAL, 9 Sep 2026: Ultra Clear BEARS VAT but does not CHARGE it. Not registered, no return filed, KRA PIN only. Flip to YES on the day registration happens and the whole book re-prices itself.</t>
        </is>
      </c>
    </row>
    <row r="8">
      <c r="B8" s="88" t="inlineStr">
        <is>
          <t>R4_FLOOR</t>
        </is>
      </c>
      <c r="C8" s="107">
        <f>ROUND(R4_MARKUP*IF(VAT_REGISTERED="YES",1+VAT_RATE,1),4)</f>
        <v/>
      </c>
      <c r="D8" s="91" t="inlineStr">
        <is>
          <t>DERIVED from R4_MARKUP and the tax switch. The 31 Aug recut counted VAT twice — it grossed the markup up for output VAT while leaving irrecoverable input VAT inside the cost base. Registered: 1.5660. Not registered: 1.3500.</t>
        </is>
      </c>
    </row>
    <row r="9">
      <c r="B9" s="88" t="inlineStr">
        <is>
          <t>TIER_WHOLESALE</t>
        </is>
      </c>
      <c r="C9" s="107" t="n">
        <v>0.8</v>
      </c>
      <c r="D9" s="91" t="inlineStr">
        <is>
          <t>Wholesale = retail x this.</t>
        </is>
      </c>
    </row>
    <row r="10">
      <c r="B10" s="88" t="inlineStr">
        <is>
          <t>TIER_CORPORATE</t>
        </is>
      </c>
      <c r="C10" s="107" t="n">
        <v>0.85</v>
      </c>
      <c r="D10" s="91" t="inlineStr">
        <is>
          <t>Corporate = retail x this.</t>
        </is>
      </c>
    </row>
    <row r="11">
      <c r="B11" s="88" t="inlineStr">
        <is>
          <t>TIER_INFLUENCER</t>
        </is>
      </c>
      <c r="C11" s="107" t="n">
        <v>0.9</v>
      </c>
      <c r="D11" s="91" t="inlineStr">
        <is>
          <t>Influencer = retail x this.</t>
        </is>
      </c>
    </row>
    <row r="12">
      <c r="B12" s="88" t="inlineStr">
        <is>
          <t>MIN_TIER_RATE</t>
        </is>
      </c>
      <c r="C12" s="107">
        <f>MIN(TIER_WHOLESALE,TIER_CORPORATE,TIER_INFLUENCER)</f>
        <v/>
      </c>
      <c r="D12" s="91" t="inlineStr">
        <is>
          <t>DERIVED. The deepest discount offered — the binding constraint.</t>
        </is>
      </c>
    </row>
    <row r="13">
      <c r="B13" s="88" t="inlineStr">
        <is>
          <t>SAFETY_BUFFER</t>
        </is>
      </c>
      <c r="C13" s="107" t="n">
        <v>0.02</v>
      </c>
      <c r="D13" s="91" t="inlineStr">
        <is>
          <t>Absorbs psychological rounding, which can shave up to 10 KES off a tier price.</t>
        </is>
      </c>
    </row>
    <row r="14">
      <c r="B14" s="88" t="inlineStr">
        <is>
          <t>MULT_RETAIL</t>
        </is>
      </c>
      <c r="C14" s="107">
        <f>ROUNDUP(R4_FLOOR/MIN_TIER_RATE*(1+SAFETY_BUFFER),2)</f>
        <v/>
      </c>
      <c r="D14" s="91" t="inlineStr">
        <is>
          <t>DERIVED — THE KEY RULE. The minimum retail multiple at which the DEEPEST discount still clears the floor. Never type this number.</t>
        </is>
      </c>
    </row>
    <row r="15">
      <c r="B15" s="88" t="inlineStr">
        <is>
          <t>FX_USD_KES</t>
        </is>
      </c>
      <c r="C15" s="105" t="n">
        <v>135</v>
      </c>
      <c r="D15" s="91" t="inlineStr">
        <is>
          <t>Forex. One cell, referenced everywhere.</t>
        </is>
      </c>
    </row>
    <row r="16">
      <c r="B16" s="88" t="inlineStr">
        <is>
          <t>FREIGHT_RATE</t>
        </is>
      </c>
      <c r="C16" s="105" t="n">
        <v>500</v>
      </c>
      <c r="D16" s="91" t="inlineStr">
        <is>
          <t>USD per CBM. 400 = Tanzania stock already landed. 500 = new stock inbound.</t>
        </is>
      </c>
    </row>
    <row r="18" ht="56" customHeight="1">
      <c r="B18" s="103" t="inlineStr">
        <is>
          <t>UNIT-ECONOMICS PARAMETERS</t>
        </is>
      </c>
    </row>
    <row r="19">
      <c r="B19" s="91" t="inlineStr">
        <is>
          <t>The floor above covers landed cost only. These are the costs of actually SERVING a unit.</t>
        </is>
      </c>
    </row>
    <row r="20">
      <c r="B20" s="88" t="inlineStr">
        <is>
          <t>SHRINK_ACTUAL</t>
        </is>
      </c>
      <c r="C20" s="111" t="n">
        <v>0.373</v>
      </c>
      <c r="D20" s="112" t="inlineStr">
        <is>
          <t>EVIDENCED</t>
        </is>
      </c>
    </row>
    <row r="21">
      <c r="B21" s="88" t="inlineStr">
        <is>
          <t>SHRINK_PLAN</t>
        </is>
      </c>
      <c r="C21" s="111" t="n">
        <v>0.1</v>
      </c>
      <c r="D21" s="113" t="inlineStr">
        <is>
          <t>PLANNING</t>
        </is>
      </c>
    </row>
    <row r="22">
      <c r="B22" s="88" t="inlineStr">
        <is>
          <t>EVENT_COST</t>
        </is>
      </c>
      <c r="C22" s="114" t="n">
        <v>7000</v>
      </c>
      <c r="D22" s="115" t="inlineStr">
        <is>
          <t>STATED</t>
        </is>
      </c>
    </row>
    <row r="23">
      <c r="B23" s="88" t="inlineStr">
        <is>
          <t>UNITS_PER_EVENT</t>
        </is>
      </c>
      <c r="C23" s="114" t="n">
        <v>3.19</v>
      </c>
      <c r="D23" s="92" t="inlineStr">
        <is>
          <t>ESTIMATED</t>
        </is>
      </c>
    </row>
    <row r="24">
      <c r="B24" s="88" t="inlineStr">
        <is>
          <t>AGENT_RATE</t>
        </is>
      </c>
      <c r="C24" s="111" t="n">
        <v>0</v>
      </c>
      <c r="D24" s="112" t="inlineStr">
        <is>
          <t>FOLDED INTO EVENT_COST — do not use. Activation space 110,000 + staff 72,000 = 182,000 over 26 events = exactly 7,000 each. The 7,000 ALREADY contains the staff pay, so charging a separate agent % on top double-counts it. (The 6,800 paid to Austin on 4-6 Jul is unexplained by the 2,000/person rate and is a separate open item.)</t>
        </is>
      </c>
    </row>
    <row r="25">
      <c r="B25" s="88" t="inlineStr">
        <is>
          <t>FEE_BANK</t>
        </is>
      </c>
      <c r="C25" s="111" t="n">
        <v>0.0069</v>
      </c>
      <c r="D25" s="112" t="inlineStr">
        <is>
          <t>EVIDENCED</t>
        </is>
      </c>
    </row>
    <row r="26">
      <c r="B26" s="88" t="inlineStr">
        <is>
          <t>FEE_MPESA</t>
        </is>
      </c>
      <c r="C26" s="111" t="n">
        <v>0.015</v>
      </c>
      <c r="D26" s="92" t="inlineStr">
        <is>
          <t>ASSUMED</t>
        </is>
      </c>
    </row>
    <row r="27">
      <c r="B27" s="88" t="inlineStr">
        <is>
          <t>FEE_CASH</t>
        </is>
      </c>
      <c r="C27" s="111" t="n">
        <v>0</v>
      </c>
      <c r="D27" s="112" t="inlineStr">
        <is>
          <t>EVIDENCED</t>
        </is>
      </c>
    </row>
    <row r="28">
      <c r="B28" s="88" t="inlineStr">
        <is>
          <t>FIXED_MONTHLY</t>
        </is>
      </c>
      <c r="C28" s="114" t="n">
        <v>98800</v>
      </c>
      <c r="D28" s="92" t="inlineStr">
        <is>
          <t>EVIDENCED — salaries 86,200 + warehouse 12,000 + bank 600. See FIXED_COSTS.</t>
        </is>
      </c>
    </row>
    <row r="29">
      <c r="B29" s="88" t="inlineStr">
        <is>
          <t>MARKETING_MONTHLY</t>
        </is>
      </c>
      <c r="C29" s="105" t="n">
        <v>30333</v>
      </c>
      <c r="D29" s="112" t="inlineStr">
        <is>
          <t>EVIDENCED</t>
        </is>
      </c>
      <c r="E29" s="91" t="inlineStr">
        <is>
          <t>Activation programme reclassified as marketing on owner ruling, 23 Sep 2026: 182,000 over 6 months.</t>
        </is>
      </c>
    </row>
    <row r="30">
      <c r="B30" s="88" t="inlineStr">
        <is>
          <t>ACT_EVENTS</t>
        </is>
      </c>
      <c r="C30" s="105" t="n">
        <v>26</v>
      </c>
      <c r="D30" s="112" t="inlineStr">
        <is>
          <t>EVIDENCED</t>
        </is>
      </c>
      <c r="E30" s="91" t="inlineStr">
        <is>
          <t>Mar-Aug 2026 contains exactly 26 Saturdays.</t>
        </is>
      </c>
    </row>
    <row r="31" ht="42" customHeight="1">
      <c r="B31" s="88" t="inlineStr">
        <is>
          <t>ACT_REVENUE_EST</t>
        </is>
      </c>
      <c r="E31" s="91" t="inlineStr">
        <is>
          <t>26 x the 16,409.50 average of two observed Saturday till settlements. Two points are not a distribution.</t>
        </is>
      </c>
    </row>
    <row r="33">
      <c r="B33" s="92" t="inlineStr">
        <is>
          <t>READ THE MIDDLE COLUMN</t>
        </is>
      </c>
    </row>
    <row r="34">
      <c r="B34" s="91" t="inlineStr">
        <is>
          <t>EVIDENCED = from a document. OBSERVED = from one data point. STATED = the owner said so. ESTIMATED / ASSUMED = I filled a gap so the model runs. A number is only as good as its label, and three of these nine are not good enough to bet on.</t>
        </is>
      </c>
    </row>
    <row r="37">
      <c r="B37" s="92" t="inlineStr">
        <is>
          <t>WHY MULT_RETAIL IS DERIVED</t>
        </is>
      </c>
    </row>
    <row r="38">
      <c r="B38" s="91" t="inlineStr">
        <is>
          <t>The old file typed 1.60. At 1.60 the deepest discount (20%) lands at cost x 1.28 — below the 1.566 floor. That single typed number caused every tier breach in the catalogue. Deriving it removes the possibility: if someone later deepens wholesale to 25%, MULT_RETAIL rises to 2.13 by itself. The rule enforces itself instead of being enforced by a person.</t>
        </is>
      </c>
    </row>
    <row r="40">
      <c r="B40" s="103" t="inlineStr">
        <is>
          <t>RULE REGISTER</t>
        </is>
      </c>
    </row>
    <row r="41">
      <c r="A41" s="90" t="inlineStr"/>
      <c r="B41" s="90" t="inlineStr">
        <is>
          <t>RULE</t>
        </is>
      </c>
      <c r="C41" s="90" t="inlineStr">
        <is>
          <t>SEVERITY</t>
        </is>
      </c>
      <c r="D41" s="90" t="inlineStr">
        <is>
          <t>WHAT IT STOPS</t>
        </is>
      </c>
    </row>
    <row r="42">
      <c r="A42" s="91" t="inlineStr">
        <is>
          <t>G1</t>
        </is>
      </c>
      <c r="B42" s="91" t="inlineStr">
        <is>
          <t>SKU format</t>
        </is>
      </c>
      <c r="C42" s="95" t="inlineStr">
        <is>
          <t>BLOCK</t>
        </is>
      </c>
      <c r="D42" s="91" t="inlineStr">
        <is>
          <t>Parent = UC-XXX-XXX-NNN. Child = &lt;parent&gt;-VV. Anything else is not a SKU.</t>
        </is>
      </c>
    </row>
    <row r="43">
      <c r="A43" s="91" t="inlineStr">
        <is>
          <t>G2</t>
        </is>
      </c>
      <c r="B43" s="91" t="inlineStr">
        <is>
          <t>SKU unique on the FULL string</t>
        </is>
      </c>
      <c r="C43" s="95" t="inlineStr">
        <is>
          <t>BLOCK</t>
        </is>
      </c>
      <c r="D43" s="91" t="inlineStr">
        <is>
          <t>The numeric segment carries NO meaning. 001 may appear many times. Only the whole string must be unique. This is what makes UC-COM-ROS-002 safe.</t>
        </is>
      </c>
    </row>
    <row r="44">
      <c r="A44" s="91" t="inlineStr">
        <is>
          <t>G3</t>
        </is>
      </c>
      <c r="B44" s="91" t="inlineStr">
        <is>
          <t>A retired SKU is never re-issued</t>
        </is>
      </c>
      <c r="C44" s="95" t="inlineStr">
        <is>
          <t>BLOCK</t>
        </is>
      </c>
      <c r="D44" s="91" t="inlineStr">
        <is>
          <t>Prevents a key ever pointing at two products across time.</t>
        </is>
      </c>
    </row>
    <row r="45">
      <c r="A45" s="91" t="inlineStr">
        <is>
          <t>G4</t>
        </is>
      </c>
      <c r="B45" s="91" t="inlineStr">
        <is>
          <t>Child contains its parent</t>
        </is>
      </c>
      <c r="C45" s="95" t="inlineStr">
        <is>
          <t>BLOCK</t>
        </is>
      </c>
      <c r="D45" s="91" t="inlineStr">
        <is>
          <t>Makes the parent-child join mechanical. No crosswalk, no orphans.</t>
        </is>
      </c>
    </row>
    <row r="46">
      <c r="A46" s="91" t="inlineStr">
        <is>
          <t>G5</t>
        </is>
      </c>
      <c r="B46" s="91" t="inlineStr">
        <is>
          <t>Cost basis declared</t>
        </is>
      </c>
      <c r="C46" s="97" t="inlineStr">
        <is>
          <t>WARN</t>
        </is>
      </c>
      <c r="D46" s="91" t="inlineStr">
        <is>
          <t>DERIVED / RECORDED / NONE. A typed cost can never masquerade as a measured one.</t>
        </is>
      </c>
    </row>
    <row r="47">
      <c r="A47" s="91" t="inlineStr">
        <is>
          <t>G6</t>
        </is>
      </c>
      <c r="B47" s="91" t="inlineStr">
        <is>
          <t>Landed &gt;= ex-works</t>
        </is>
      </c>
      <c r="C47" s="95" t="inlineStr">
        <is>
          <t>BLOCK</t>
        </is>
      </c>
      <c r="D47" s="91" t="inlineStr">
        <is>
          <t>Goods cannot land for less than the factory price.</t>
        </is>
      </c>
    </row>
    <row r="48">
      <c r="A48" s="91" t="inlineStr">
        <is>
          <t>G7</t>
        </is>
      </c>
      <c r="B48" s="91" t="inlineStr">
        <is>
          <t>Actual price &gt;= minimum price</t>
        </is>
      </c>
      <c r="C48" s="95" t="inlineStr">
        <is>
          <t>BLOCK</t>
        </is>
      </c>
      <c r="D48" s="91" t="inlineStr">
        <is>
          <t>Minimum = cost x MULT_RETAIL. Judgement may price ABOVE it, never below.</t>
        </is>
      </c>
    </row>
    <row r="49">
      <c r="A49" s="91" t="inlineStr">
        <is>
          <t>G8</t>
        </is>
      </c>
      <c r="B49" s="91" t="inlineStr">
        <is>
          <t>Every tier &gt;= cost x R4_FLOOR</t>
        </is>
      </c>
      <c r="C49" s="95" t="inlineStr">
        <is>
          <t>BLOCK</t>
        </is>
      </c>
      <c r="D49" s="91" t="inlineStr">
        <is>
          <t>Guaranteed by G7 once MULT_RETAIL is derived, and re-tested anyway.</t>
        </is>
      </c>
    </row>
    <row r="50">
      <c r="A50" s="91" t="inlineStr">
        <is>
          <t>G9</t>
        </is>
      </c>
      <c r="B50" s="91" t="inlineStr">
        <is>
          <t>Stock qty carries a count date</t>
        </is>
      </c>
      <c r="C50" s="95" t="inlineStr">
        <is>
          <t>BLOCK</t>
        </is>
      </c>
      <c r="D50" s="91" t="inlineStr">
        <is>
          <t>An undated quantity is not a quantity.</t>
        </is>
      </c>
    </row>
    <row r="51">
      <c r="A51" s="91" t="inlineStr">
        <is>
          <t>G10</t>
        </is>
      </c>
      <c r="B51" s="91" t="inlineStr">
        <is>
          <t>Storefront capacity is the published figure</t>
        </is>
      </c>
      <c r="C51" s="97" t="inlineStr">
        <is>
          <t>WARN</t>
        </is>
      </c>
      <c r="D51" s="91" t="inlineStr">
        <is>
          <t>Factory capacity is reference only and is never published.</t>
        </is>
      </c>
    </row>
    <row r="52">
      <c r="A52" s="91" t="inlineStr">
        <is>
          <t>G11</t>
        </is>
      </c>
      <c r="B52" s="91" t="inlineStr">
        <is>
          <t>PUBLISH requires every BLOCK rule to pass</t>
        </is>
      </c>
      <c r="C52" s="95" t="inlineStr">
        <is>
          <t>BLOCK</t>
        </is>
      </c>
      <c r="D52" s="91" t="inlineStr">
        <is>
          <t>Nothing reaches the catalogue that has not passed the gate.</t>
        </is>
      </c>
    </row>
  </sheetData>
  <mergeCells count="2">
    <mergeCell ref="B31:D31"/>
    <mergeCell ref="B18:D18"/>
  </mergeCells>
  <dataValidations count="1">
    <dataValidation sqref="C7" showDropDown="0" showInputMessage="0" showErrorMessage="0" allowBlank="0" type="list">
      <formula1>"YES,NO"</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9" customWidth="1" min="1" max="1"/>
    <col width="13" customWidth="1" min="2" max="2"/>
    <col width="13" customWidth="1" min="3" max="3"/>
    <col width="26" customWidth="1" min="4" max="4"/>
    <col width="17" customWidth="1" min="5" max="5"/>
    <col width="80" customWidth="1" min="6" max="6"/>
  </cols>
  <sheetData>
    <row r="1">
      <c r="A1" s="89" t="inlineStr">
        <is>
          <t>SKU REGISTRY — issued, retired, proposed. A retired SKU is never re-issued.</t>
        </is>
      </c>
    </row>
    <row r="2">
      <c r="A2" t="inlineStr">
        <is>
          <t>This register closes D10. Identity is settled here and nowhere else; the catalogue is rebuilt from it.</t>
        </is>
      </c>
    </row>
    <row r="4">
      <c r="A4" s="90" t="inlineStr">
        <is>
          <t>SKU</t>
        </is>
      </c>
      <c r="B4" s="90" t="inlineStr">
        <is>
          <t>STATE</t>
        </is>
      </c>
      <c r="C4" s="90" t="inlineStr">
        <is>
          <t>DATE</t>
        </is>
      </c>
      <c r="D4" s="90" t="inlineStr">
        <is>
          <t>PRODUCT</t>
        </is>
      </c>
      <c r="E4" s="90" t="inlineStr">
        <is>
          <t>REPLACES / REPLACED BY</t>
        </is>
      </c>
      <c r="F4" s="90" t="inlineStr">
        <is>
          <t>RULING</t>
        </is>
      </c>
    </row>
    <row r="5" ht="54" customHeight="1">
      <c r="A5" s="91" t="inlineStr">
        <is>
          <t>UC-COM-ROS-002</t>
        </is>
      </c>
      <c r="B5" s="99" t="inlineStr">
        <is>
          <t>ISSUED</t>
        </is>
      </c>
      <c r="C5" s="91" t="inlineStr">
        <is>
          <t>2026-09-16</t>
        </is>
      </c>
      <c r="D5" s="91" t="inlineStr">
        <is>
          <t>Commercial RO System / Aqua Stream 1200D</t>
        </is>
      </c>
      <c r="E5" s="91" t="inlineStr">
        <is>
          <t>replaces UC-HOU-ROS-002</t>
        </is>
      </c>
      <c r="F5" s="91" t="inlineStr">
        <is>
          <t>RATIFIED. The old key collided: UC-HOU-ROS-002 had been used for two different products. Uniqueness is tested on the FULL string, and the numeric segment carries no meaning, so reusing "002" here is safe and creates no conflict with UC-HOU-URO-002. Landed cost set to USD 200. D10 CLOSED on identity.</t>
        </is>
      </c>
    </row>
    <row r="6" ht="54" customHeight="1">
      <c r="A6" s="91" t="inlineStr">
        <is>
          <t>UC-HOU-ROS-002</t>
        </is>
      </c>
      <c r="B6" s="95" t="inlineStr">
        <is>
          <t>RETIRED</t>
        </is>
      </c>
      <c r="C6" s="91" t="inlineStr">
        <is>
          <t>2026-09-16</t>
        </is>
      </c>
      <c r="D6" s="91" t="inlineStr">
        <is>
          <t>(was Commercial RO, and separately Ultra Pure)</t>
        </is>
      </c>
      <c r="E6" s="91" t="inlineStr">
        <is>
          <t>replaced by UC-COM-ROS-002</t>
        </is>
      </c>
      <c r="F6" s="91" t="inlineStr">
        <is>
          <t>NEVER RE-ISSUE. This string pointed at two different products in two different files. Retiring it is what makes the history unambiguous.</t>
        </is>
      </c>
    </row>
    <row r="7" ht="54" customHeight="1">
      <c r="A7" s="91" t="inlineStr">
        <is>
          <t>UC-BOG-FCA-015</t>
        </is>
      </c>
      <c r="B7" s="99" t="inlineStr">
        <is>
          <t>ISSUED</t>
        </is>
      </c>
      <c r="C7" s="91" t="inlineStr">
        <is>
          <t>(existing)</t>
        </is>
      </c>
      <c r="D7" s="91" t="inlineStr">
        <is>
          <t>Cartridge - squeeze / straw Ahlstrom (BG-F06A)</t>
        </is>
      </c>
      <c r="E7" s="91" t="inlineStr">
        <is>
          <t>—</t>
        </is>
      </c>
      <c r="F7" s="91" t="inlineStr">
        <is>
          <t>Keeps the key. This is the original holder.</t>
        </is>
      </c>
    </row>
    <row r="8" ht="54" customHeight="1">
      <c r="A8" s="91" t="inlineStr">
        <is>
          <t>UC-BOG-FCB-028</t>
        </is>
      </c>
      <c r="B8" s="95" t="inlineStr">
        <is>
          <t>PROPOSED</t>
        </is>
      </c>
      <c r="C8" s="91" t="inlineStr">
        <is>
          <t>2026-09-17</t>
        </is>
      </c>
      <c r="D8" s="91" t="inlineStr">
        <is>
          <t>Cartridge - bottle Ahlstrom (Tritan Bottle Filter Cap)</t>
        </is>
      </c>
      <c r="E8" s="91" t="inlineStr">
        <is>
          <t>splits from UC-BOG-FCA-015</t>
        </is>
      </c>
      <c r="F8" s="91" t="inlineStr">
        <is>
          <t>Two physically different cartridges shared one key. The master must ratify this number before the SKU can be published or counted. Gate blocks it until then.</t>
        </is>
      </c>
    </row>
    <row r="9" ht="54" customHeight="1">
      <c r="A9" s="91" t="inlineStr">
        <is>
          <t>(none)</t>
        </is>
      </c>
      <c r="B9" s="99" t="inlineStr">
        <is>
          <t>RESOLVED</t>
        </is>
      </c>
      <c r="C9" s="91" t="inlineStr">
        <is>
          <t>—</t>
        </is>
      </c>
      <c r="D9" s="91" t="inlineStr">
        <is>
          <t>MT-0.5 Mini Water Tank</t>
        </is>
      </c>
      <c r="E9" s="91" t="inlineStr">
        <is>
          <t>—</t>
        </is>
      </c>
      <c r="F9" s="91" t="inlineStr">
        <is>
          <t>Resolved 21 Sep 2026 — issued as UC-HOU-ROT-029.</t>
        </is>
      </c>
    </row>
    <row r="10" ht="54" customHeight="1">
      <c r="A10" s="91" t="inlineStr">
        <is>
          <t>UC-HOU-ROT-029</t>
        </is>
      </c>
      <c r="B10" s="99" t="inlineStr">
        <is>
          <t>ISSUED</t>
        </is>
      </c>
      <c r="C10" s="91" t="inlineStr">
        <is>
          <t>2026-09-21</t>
        </is>
      </c>
      <c r="D10" s="91" t="inlineStr">
        <is>
          <t>MT-0.5 Mini Water Tank 0.5G (RO pressure tank)</t>
        </is>
      </c>
      <c r="E10" s="91" t="inlineStr">
        <is>
          <t>—</t>
        </is>
      </c>
      <c r="F10" s="91" t="inlineStr">
        <is>
          <t>ISSUED on instruction. No carton data and no landed cost yet, so the gate holds it out of the catalogue until a cost exists. Having a SKU means it can now be received, counted and referenced; it does not mean it can be sold.</t>
        </is>
      </c>
    </row>
    <row r="11" ht="54" customHeight="1">
      <c r="A11" s="91" t="inlineStr">
        <is>
          <t>UC-SKW-SHC-023</t>
        </is>
      </c>
      <c r="B11" s="99" t="inlineStr">
        <is>
          <t>RULED</t>
        </is>
      </c>
      <c r="C11" s="91" t="inlineStr">
        <is>
          <t>2026-09-21</t>
        </is>
      </c>
      <c r="D11" s="91" t="inlineStr">
        <is>
          <t>Shower cartridge (BG-F02)</t>
        </is>
      </c>
      <c r="E11" s="91" t="inlineStr">
        <is>
          <t>absorbs UC-EA-SHW-CRT-JAD / -CHN / -DRC</t>
        </is>
      </c>
      <c r="F11" s="91" t="inlineStr">
        <is>
          <t>ONE cartridge fits ALL replaceable shower types. The three legacy child SKUs collapse to a single child, UC-SKW-SHC-023-XX. Three keys for one physical part is exactly the duplication the registry exists to stop.</t>
        </is>
      </c>
    </row>
  </sheetData>
  <dataValidations count="1">
    <dataValidation sqref="B5:B90" showDropDown="0" showInputMessage="0" showErrorMessage="0" allowBlank="1" type="list">
      <formula1>"ISSUED,RETIRED,PROPOSED,REQUIRED"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56"/>
  <sheetViews>
    <sheetView workbookViewId="0">
      <pane ySplit="4" topLeftCell="A5" activePane="bottomLeft" state="frozen"/>
      <selection pane="bottomLeft" activeCell="A1" sqref="A1"/>
    </sheetView>
  </sheetViews>
  <sheetFormatPr baseColWidth="8" defaultRowHeight="15"/>
  <cols>
    <col width="24" customWidth="1" min="1" max="1"/>
    <col width="19" customWidth="1" min="2" max="2"/>
    <col width="20" customWidth="1" min="3" max="3"/>
    <col width="24" customWidth="1" min="4" max="4"/>
    <col width="44" customWidth="1" min="5" max="5"/>
    <col width="12" customWidth="1" min="6" max="6"/>
    <col width="14" customWidth="1" min="7" max="7"/>
    <col width="12" customWidth="1" min="8" max="8"/>
    <col width="22" customWidth="1" min="9" max="9"/>
    <col width="11" customWidth="1" min="10" max="10"/>
    <col width="11" customWidth="1" min="11" max="11"/>
    <col width="11" customWidth="1" min="12" max="12"/>
    <col width="11" customWidth="1" min="13" max="13"/>
    <col width="13" customWidth="1" min="14" max="14"/>
    <col width="15" customWidth="1" min="15" max="15"/>
    <col width="13" customWidth="1" min="16" max="16"/>
  </cols>
  <sheetData>
    <row r="1">
      <c r="A1" s="89" t="inlineStr">
        <is>
          <t>CATALOGUE — generated from SKU_REGISTRY and GATE. Only products whose gate says GO appear here.</t>
        </is>
      </c>
    </row>
    <row r="2">
      <c r="A2" t="inlineStr">
        <is>
          <t>This sheet is the source for the storefront. The storefront is never the source for this sheet.</t>
        </is>
      </c>
    </row>
    <row r="4">
      <c r="A4" s="90" t="inlineStr">
        <is>
          <t>CHILD_SKU</t>
        </is>
      </c>
      <c r="B4" s="90" t="inlineStr">
        <is>
          <t>PARENT_SKU</t>
        </is>
      </c>
      <c r="C4" s="90" t="inlineStr">
        <is>
          <t>CATEGORY</t>
        </is>
      </c>
      <c r="D4" s="90" t="inlineStr">
        <is>
          <t>PRODUCT</t>
        </is>
      </c>
      <c r="E4" s="90" t="inlineStr">
        <is>
          <t>DESCRIPTION</t>
        </is>
      </c>
      <c r="F4" s="90" t="inlineStr">
        <is>
          <t>CAPACITY</t>
        </is>
      </c>
      <c r="G4" s="90" t="inlineStr">
        <is>
          <t>COLOUR / FINISH</t>
        </is>
      </c>
      <c r="H4" s="90" t="inlineStr">
        <is>
          <t>FILTER LIFE</t>
        </is>
      </c>
      <c r="I4" s="90" t="inlineStr">
        <is>
          <t>MEDIA</t>
        </is>
      </c>
      <c r="J4" s="90" t="inlineStr">
        <is>
          <t>RETAIL</t>
        </is>
      </c>
      <c r="K4" s="90" t="inlineStr">
        <is>
          <t>WHOLESALE</t>
        </is>
      </c>
      <c r="L4" s="90" t="inlineStr">
        <is>
          <t>CORPORATE</t>
        </is>
      </c>
      <c r="M4" s="90" t="inlineStr">
        <is>
          <t>INFLUENCER</t>
        </is>
      </c>
      <c r="N4" s="90" t="inlineStr">
        <is>
          <t>AVAILABILITY</t>
        </is>
      </c>
      <c r="O4" s="90" t="inlineStr">
        <is>
          <t>STOCK (12 Mar)</t>
        </is>
      </c>
      <c r="P4" s="90" t="inlineStr">
        <is>
          <t>GATE</t>
        </is>
      </c>
    </row>
    <row r="5">
      <c r="A5" s="91" t="inlineStr">
        <is>
          <t>UC-HOU-PHRO-001-XX</t>
        </is>
      </c>
      <c r="B5" s="91" t="inlineStr">
        <is>
          <t>UC-HOU-PHRO-001</t>
        </is>
      </c>
      <c r="C5" s="91" t="inlineStr">
        <is>
          <t>Home &amp; Utility</t>
        </is>
      </c>
      <c r="D5" s="91" t="inlineStr">
        <is>
          <t xml:space="preserve">Pure Home </t>
        </is>
      </c>
      <c r="E5" s="91" t="inlineStr">
        <is>
          <t>800G tankless RO with TDS display and Filter life light reminder with auto flushing funtion with Wifi + App control</t>
        </is>
      </c>
      <c r="F5" s="91" t="inlineStr">
        <is>
          <t>—</t>
        </is>
      </c>
      <c r="G5" s="91" t="inlineStr">
        <is>
          <t>—</t>
        </is>
      </c>
      <c r="H5" s="91" t="inlineStr">
        <is>
          <t>—</t>
        </is>
      </c>
      <c r="I5" s="91" t="inlineStr">
        <is>
          <t>—</t>
        </is>
      </c>
      <c r="J5" s="108" t="n">
        <v>37990</v>
      </c>
      <c r="K5" s="108" t="n">
        <v>30990</v>
      </c>
      <c r="L5" s="108" t="n">
        <v>32990</v>
      </c>
      <c r="M5" s="108" t="n">
        <v>34990</v>
      </c>
      <c r="N5" s="109" t="inlineStr">
        <is>
          <t>Pre-order — incoming shipment</t>
        </is>
      </c>
      <c r="O5" s="91" t="n">
        <v>0</v>
      </c>
      <c r="P5" s="91" t="inlineStr">
        <is>
          <t>GO</t>
        </is>
      </c>
    </row>
    <row r="6">
      <c r="A6" s="91" t="inlineStr">
        <is>
          <t>UC-HOU-URO-001-XX</t>
        </is>
      </c>
      <c r="B6" s="91" t="inlineStr">
        <is>
          <t>UC-HOU-URO-001</t>
        </is>
      </c>
      <c r="C6" s="91" t="inlineStr">
        <is>
          <t>Home &amp; Utility</t>
        </is>
      </c>
      <c r="D6" s="91" t="inlineStr">
        <is>
          <t>Ultra Pure</t>
        </is>
      </c>
      <c r="E6" s="91" t="inlineStr">
        <is>
          <t>Faucet Body SS304 Pre-installed Filter * 1 (Carbon+Lead remove) Aerator (vary by model)Escutcheon PlateRed Line (hot water) Blue Line (cold water) Optional Quick-Connect Components Waterproof Rubber Ring Threaded Metal P</t>
        </is>
      </c>
      <c r="F6" s="91" t="inlineStr">
        <is>
          <t>—</t>
        </is>
      </c>
      <c r="G6" s="91" t="inlineStr">
        <is>
          <t>—</t>
        </is>
      </c>
      <c r="H6" s="91" t="inlineStr">
        <is>
          <t>—</t>
        </is>
      </c>
      <c r="I6" s="91" t="inlineStr">
        <is>
          <t>—</t>
        </is>
      </c>
      <c r="J6" s="108" t="n">
        <v>16990</v>
      </c>
      <c r="K6" s="108" t="n">
        <v>12990</v>
      </c>
      <c r="L6" s="108" t="n">
        <v>13990</v>
      </c>
      <c r="M6" s="108" t="n">
        <v>14990</v>
      </c>
      <c r="N6" s="109" t="inlineStr">
        <is>
          <t>Pre-order — incoming shipment</t>
        </is>
      </c>
      <c r="O6" s="91" t="n">
        <v>0</v>
      </c>
      <c r="P6" s="91" t="inlineStr">
        <is>
          <t>GO</t>
        </is>
      </c>
    </row>
    <row r="7">
      <c r="A7" s="91" t="inlineStr">
        <is>
          <t>UC-HOU-URO-002-XX</t>
        </is>
      </c>
      <c r="B7" s="91" t="inlineStr">
        <is>
          <t>UC-HOU-URO-002</t>
        </is>
      </c>
      <c r="C7" s="91" t="inlineStr">
        <is>
          <t>Home &amp; Utility</t>
        </is>
      </c>
      <c r="D7" s="91" t="inlineStr">
        <is>
          <t>Ultra Pure 2</t>
        </is>
      </c>
      <c r="E7" s="91" t="inlineStr">
        <is>
          <t xml:space="preserve">Pre-installed Filter * 1 (Carbon+Lead remove) Aerator (vary by model)Escutcheon PlateRed Line (hot water) Blue Line (cold water) Optional Quick-Connect Components Waterproof Rubber Ring Threaded Metal Pipe Rubber Gasket </t>
        </is>
      </c>
      <c r="F7" s="91" t="inlineStr">
        <is>
          <t>—</t>
        </is>
      </c>
      <c r="G7" s="91" t="inlineStr">
        <is>
          <t>—</t>
        </is>
      </c>
      <c r="H7" s="91" t="inlineStr">
        <is>
          <t>—</t>
        </is>
      </c>
      <c r="I7" s="91" t="inlineStr">
        <is>
          <t>—</t>
        </is>
      </c>
      <c r="J7" s="108" t="n">
        <v>17990</v>
      </c>
      <c r="K7" s="108" t="n">
        <v>14990</v>
      </c>
      <c r="L7" s="108" t="n">
        <v>14990</v>
      </c>
      <c r="M7" s="108" t="n">
        <v>15990</v>
      </c>
      <c r="N7" s="109" t="inlineStr">
        <is>
          <t>Pre-order — incoming shipment</t>
        </is>
      </c>
      <c r="O7" s="91" t="n">
        <v>0</v>
      </c>
      <c r="P7" s="91" t="inlineStr">
        <is>
          <t>GO</t>
        </is>
      </c>
    </row>
    <row r="8">
      <c r="A8" s="91" t="inlineStr">
        <is>
          <t>UC-HOU-ROS-001-XX</t>
        </is>
      </c>
      <c r="B8" s="91" t="inlineStr">
        <is>
          <t>UC-HOU-ROS-001</t>
        </is>
      </c>
      <c r="C8" s="91" t="inlineStr">
        <is>
          <t>Home &amp; Utility</t>
        </is>
      </c>
      <c r="D8" s="91" t="inlineStr">
        <is>
          <t>Pure Blue</t>
        </is>
      </c>
      <c r="E8" s="91" t="inlineStr">
        <is>
          <t>6 stage plastic stand bracket RO unit *6 stage: PP+GAC+CTO+RO+T33+Mineral *Booster pump *Reverse osmosis(RO) membrane *Purifying capacity:100G *Power adapter *304 Stainless steel drinking faucet *3.2G pressure water tank</t>
        </is>
      </c>
      <c r="F8" s="91" t="inlineStr">
        <is>
          <t>—</t>
        </is>
      </c>
      <c r="G8" s="91" t="inlineStr">
        <is>
          <t>—</t>
        </is>
      </c>
      <c r="H8" s="91" t="inlineStr">
        <is>
          <t>—</t>
        </is>
      </c>
      <c r="I8" s="91" t="inlineStr">
        <is>
          <t>—</t>
        </is>
      </c>
      <c r="J8" s="108" t="n">
        <v>27990</v>
      </c>
      <c r="K8" s="108" t="n">
        <v>21990</v>
      </c>
      <c r="L8" s="108" t="n">
        <v>23990</v>
      </c>
      <c r="M8" s="108" t="n">
        <v>24990</v>
      </c>
      <c r="N8" s="109" t="inlineStr">
        <is>
          <t>Pre-order — incoming shipment</t>
        </is>
      </c>
      <c r="O8" s="91" t="n">
        <v>0</v>
      </c>
      <c r="P8" s="91" t="inlineStr">
        <is>
          <t>GO</t>
        </is>
      </c>
    </row>
    <row r="9">
      <c r="A9" s="91" t="inlineStr">
        <is>
          <t>UC-COM-ROS-002-XX</t>
        </is>
      </c>
      <c r="B9" s="91" t="inlineStr">
        <is>
          <t>UC-COM-ROS-002</t>
        </is>
      </c>
      <c r="C9" s="91" t="inlineStr">
        <is>
          <t>Commercial</t>
        </is>
      </c>
      <c r="D9" s="91" t="inlineStr">
        <is>
          <t>Aqua Stream 1200D</t>
        </is>
      </c>
      <c r="E9" s="91" t="inlineStr">
        <is>
          <t>1200 GPD RO System Digital Display Dual Booster Pumps Dual RO Membranes Dual Power Adapters 304 Stainless Steel Faucet</t>
        </is>
      </c>
      <c r="F9" s="91" t="inlineStr">
        <is>
          <t>—</t>
        </is>
      </c>
      <c r="G9" s="91" t="inlineStr">
        <is>
          <t>—</t>
        </is>
      </c>
      <c r="H9" s="91" t="inlineStr">
        <is>
          <t>—</t>
        </is>
      </c>
      <c r="I9" s="91" t="inlineStr">
        <is>
          <t>—</t>
        </is>
      </c>
      <c r="J9" s="108" t="n">
        <v>49990</v>
      </c>
      <c r="K9" s="108" t="n">
        <v>39990</v>
      </c>
      <c r="L9" s="108" t="n">
        <v>41990</v>
      </c>
      <c r="M9" s="108" t="n">
        <v>44990</v>
      </c>
      <c r="N9" s="109" t="inlineStr">
        <is>
          <t>Pre-order — incoming shipment</t>
        </is>
      </c>
      <c r="O9" s="91" t="n">
        <v>0</v>
      </c>
      <c r="P9" s="91" t="inlineStr">
        <is>
          <t>GO</t>
        </is>
      </c>
    </row>
    <row r="10">
      <c r="A10" s="91" t="inlineStr">
        <is>
          <t>UC-HOU-WPF-003-XX</t>
        </is>
      </c>
      <c r="B10" s="91" t="inlineStr">
        <is>
          <t>UC-HOU-WPF-003</t>
        </is>
      </c>
      <c r="C10" s="91" t="inlineStr">
        <is>
          <t>Home &amp; Utility</t>
        </is>
      </c>
      <c r="D10" s="91" t="inlineStr">
        <is>
          <t>Pure Shield</t>
        </is>
      </c>
      <c r="E10" s="91" t="inlineStr">
        <is>
          <t>Electric Water Filter Pitcher 2 stage water filters 1st stage: 1 micron carbon block with lead remove 2st stage: 1 micron carbon block with lead remove</t>
        </is>
      </c>
      <c r="F10" s="91" t="inlineStr">
        <is>
          <t>—</t>
        </is>
      </c>
      <c r="G10" s="91" t="inlineStr">
        <is>
          <t>—</t>
        </is>
      </c>
      <c r="H10" s="91" t="inlineStr">
        <is>
          <t>—</t>
        </is>
      </c>
      <c r="I10" s="91" t="inlineStr">
        <is>
          <t>—</t>
        </is>
      </c>
      <c r="J10" s="108" t="n">
        <v>14990</v>
      </c>
      <c r="K10" s="108" t="n">
        <v>11990</v>
      </c>
      <c r="L10" s="108" t="n">
        <v>12990</v>
      </c>
      <c r="M10" s="108" t="n">
        <v>13990</v>
      </c>
      <c r="N10" s="109" t="inlineStr">
        <is>
          <t>Pre-order — incoming shipment</t>
        </is>
      </c>
      <c r="O10" s="91" t="n">
        <v>0</v>
      </c>
      <c r="P10" s="91" t="inlineStr">
        <is>
          <t>GO</t>
        </is>
      </c>
    </row>
    <row r="11">
      <c r="A11" s="91" t="inlineStr">
        <is>
          <t>UC-HOU-USF-004-XX</t>
        </is>
      </c>
      <c r="B11" s="91" t="inlineStr">
        <is>
          <t>UC-HOU-USF-004</t>
        </is>
      </c>
      <c r="C11" s="91" t="inlineStr">
        <is>
          <t>Home &amp; Utility</t>
        </is>
      </c>
      <c r="D11" s="91" t="inlineStr">
        <is>
          <t>Aqua Drop</t>
        </is>
      </c>
      <c r="E11" s="91" t="inlineStr"/>
      <c r="F11" s="91" t="inlineStr">
        <is>
          <t>—</t>
        </is>
      </c>
      <c r="G11" s="91" t="inlineStr">
        <is>
          <t>—</t>
        </is>
      </c>
      <c r="H11" s="91" t="inlineStr">
        <is>
          <t>—</t>
        </is>
      </c>
      <c r="I11" s="91" t="inlineStr">
        <is>
          <t>—</t>
        </is>
      </c>
      <c r="J11" s="108" t="n">
        <v>13990</v>
      </c>
      <c r="K11" s="108" t="n">
        <v>10990</v>
      </c>
      <c r="L11" s="108" t="n">
        <v>11990</v>
      </c>
      <c r="M11" s="108" t="n">
        <v>12990</v>
      </c>
      <c r="N11" s="109" t="inlineStr">
        <is>
          <t>Pre-order — incoming shipment</t>
        </is>
      </c>
      <c r="O11" s="91" t="n">
        <v>0</v>
      </c>
      <c r="P11" s="91" t="inlineStr">
        <is>
          <t>GO</t>
        </is>
      </c>
    </row>
    <row r="12">
      <c r="A12" s="91" t="inlineStr">
        <is>
          <t>UC-HOU-TAP-005-WH</t>
        </is>
      </c>
      <c r="B12" s="91" t="inlineStr">
        <is>
          <t>UC-HOU-TAP-005</t>
        </is>
      </c>
      <c r="C12" s="91" t="inlineStr">
        <is>
          <t>Home &amp; Utility</t>
        </is>
      </c>
      <c r="D12" s="91" t="inlineStr">
        <is>
          <t>Home sweet Home Filter set</t>
        </is>
      </c>
      <c r="E12" s="91" t="inlineStr">
        <is>
          <t>Stage1: Non-woven fabric Stage2: Carbon fiber  Stage3: Granular Carbon  Stage4: Ultrafiltration membrane  Function: Remove sand, rust and other particulate impurities, absorb residual chlorine and other organic compounds</t>
        </is>
      </c>
      <c r="F12" s="91" t="inlineStr">
        <is>
          <t>8 L/min</t>
        </is>
      </c>
      <c r="G12" s="91" t="inlineStr">
        <is>
          <t>White</t>
        </is>
      </c>
      <c r="H12" s="91" t="inlineStr">
        <is>
          <t>1500 L</t>
        </is>
      </c>
      <c r="I12" s="91" t="inlineStr">
        <is>
          <t>Ahlstrom + carbon</t>
        </is>
      </c>
      <c r="J12" s="108" t="n">
        <v>3299</v>
      </c>
      <c r="K12" s="108" t="n">
        <v>2599</v>
      </c>
      <c r="L12" s="108" t="n">
        <v>2799</v>
      </c>
      <c r="M12" s="108" t="n">
        <v>2999</v>
      </c>
      <c r="N12" s="109" t="inlineStr">
        <is>
          <t>Pre-order — incoming shipment</t>
        </is>
      </c>
      <c r="O12" s="91" t="n">
        <v>0</v>
      </c>
      <c r="P12" s="91" t="inlineStr">
        <is>
          <t>GO</t>
        </is>
      </c>
    </row>
    <row r="13">
      <c r="A13" s="91" t="inlineStr">
        <is>
          <t>UC-HOU-TAPF-006-WH</t>
        </is>
      </c>
      <c r="B13" s="91" t="inlineStr">
        <is>
          <t>UC-HOU-TAPF-006</t>
        </is>
      </c>
      <c r="C13" s="91" t="inlineStr">
        <is>
          <t>Home &amp; Utility</t>
        </is>
      </c>
      <c r="D13" s="91" t="inlineStr">
        <is>
          <t>Home sweet Home Filter</t>
        </is>
      </c>
      <c r="E13" s="91" t="inlineStr">
        <is>
          <t>Stage1: Non-woven fabric Stage2: Carbon fiber  Stage3: Granular Carbon  Stage4: Ultrafiltration membrane  Function: Remove sand, rust and other particulate impurities, absorb residual chlorine and other organic compounds</t>
        </is>
      </c>
      <c r="F13" s="91" t="inlineStr">
        <is>
          <t>—</t>
        </is>
      </c>
      <c r="G13" s="91" t="inlineStr">
        <is>
          <t>White</t>
        </is>
      </c>
      <c r="H13" s="91" t="inlineStr">
        <is>
          <t>1500 L</t>
        </is>
      </c>
      <c r="I13" s="91" t="inlineStr">
        <is>
          <t>Ahlstrom + carbon</t>
        </is>
      </c>
      <c r="J13" s="108" t="n">
        <v>1489.99</v>
      </c>
      <c r="K13" s="108" t="n">
        <v>1189.99</v>
      </c>
      <c r="L13" s="108" t="n">
        <v>1269.99</v>
      </c>
      <c r="M13" s="108" t="n">
        <v>1339.99</v>
      </c>
      <c r="N13" s="99" t="inlineStr">
        <is>
          <t>In stock</t>
        </is>
      </c>
      <c r="O13" s="91" t="n">
        <v>93</v>
      </c>
      <c r="P13" s="91" t="inlineStr">
        <is>
          <t>GO</t>
        </is>
      </c>
    </row>
    <row r="14">
      <c r="A14" s="91" t="inlineStr">
        <is>
          <t>UC-HOU-WDFS-006-WH</t>
        </is>
      </c>
      <c r="B14" s="91" t="inlineStr">
        <is>
          <t>UC-HOU-WDFS-006</t>
        </is>
      </c>
      <c r="C14" s="91" t="inlineStr">
        <is>
          <t>Home &amp; Utility</t>
        </is>
      </c>
      <c r="D14" s="91" t="inlineStr">
        <is>
          <t>Wireless Dispenser Filter Set</t>
        </is>
      </c>
      <c r="E14" s="91" t="inlineStr">
        <is>
          <t>*Bacterial removal rate 99.999% *Virus removal rate 99.9% *Initial removal rate of heavy metals: 99%</t>
        </is>
      </c>
      <c r="F14" s="91" t="inlineStr">
        <is>
          <t>—</t>
        </is>
      </c>
      <c r="G14" s="91" t="inlineStr">
        <is>
          <t>White</t>
        </is>
      </c>
      <c r="H14" s="91" t="inlineStr">
        <is>
          <t>400 L</t>
        </is>
      </c>
      <c r="I14" s="91" t="inlineStr">
        <is>
          <t>UF origami</t>
        </is>
      </c>
      <c r="J14" s="108" t="n">
        <v>3299</v>
      </c>
      <c r="K14" s="108" t="n">
        <v>2599</v>
      </c>
      <c r="L14" s="108" t="n">
        <v>2799</v>
      </c>
      <c r="M14" s="108" t="n">
        <v>2999</v>
      </c>
      <c r="N14" s="99" t="inlineStr">
        <is>
          <t>In stock</t>
        </is>
      </c>
      <c r="O14" s="91" t="n">
        <v>58</v>
      </c>
      <c r="P14" s="91" t="inlineStr">
        <is>
          <t>GO</t>
        </is>
      </c>
    </row>
    <row r="15">
      <c r="A15" s="91" t="inlineStr">
        <is>
          <t>UC-HOU-DF-007-XX</t>
        </is>
      </c>
      <c r="B15" s="91" t="inlineStr">
        <is>
          <t>UC-HOU-DF-007</t>
        </is>
      </c>
      <c r="C15" s="91" t="inlineStr">
        <is>
          <t>Home &amp; Utility</t>
        </is>
      </c>
      <c r="D15" s="91" t="inlineStr">
        <is>
          <t>Dispenser Filter</t>
        </is>
      </c>
      <c r="E15" s="91" t="inlineStr">
        <is>
          <t>*Bacterial removal rate 99.999% *Virus removal rate 99.9% *Initial removal rate of heavy metals: 99%</t>
        </is>
      </c>
      <c r="F15" s="91" t="inlineStr">
        <is>
          <t>—</t>
        </is>
      </c>
      <c r="G15" s="91" t="inlineStr">
        <is>
          <t>—</t>
        </is>
      </c>
      <c r="H15" s="91" t="inlineStr">
        <is>
          <t>—</t>
        </is>
      </c>
      <c r="I15" s="91" t="inlineStr">
        <is>
          <t>—</t>
        </is>
      </c>
      <c r="J15" s="108" t="n">
        <v>1889.99</v>
      </c>
      <c r="K15" s="108" t="n">
        <v>1519.99</v>
      </c>
      <c r="L15" s="108" t="n">
        <v>1609.99</v>
      </c>
      <c r="M15" s="108" t="n">
        <v>1709.99</v>
      </c>
      <c r="N15" s="99" t="inlineStr">
        <is>
          <t>In stock</t>
        </is>
      </c>
      <c r="O15" s="91" t="n">
        <v>41</v>
      </c>
      <c r="P15" s="91" t="inlineStr">
        <is>
          <t>GO</t>
        </is>
      </c>
    </row>
    <row r="16">
      <c r="A16" s="91" t="inlineStr">
        <is>
          <t>UC-BOG-SSB-008-DG</t>
        </is>
      </c>
      <c r="B16" s="91" t="inlineStr">
        <is>
          <t>UC-BOG-SSB-008</t>
        </is>
      </c>
      <c r="C16" s="91" t="inlineStr">
        <is>
          <t>Bottles &amp; On-the-Go</t>
        </is>
      </c>
      <c r="D16" s="91" t="inlineStr">
        <is>
          <t>Hydra Flux</t>
        </is>
      </c>
      <c r="E16" s="91" t="inlineStr">
        <is>
          <t>Product name：740ML stainless steel bottle with filter straw Model NO : B01  Main material: Food-grade 304 Stainless Steel  Color: Blue, gray, pink, dark green (other colors available) Filter material: Ahlstrom Rated filt</t>
        </is>
      </c>
      <c r="F16" s="91" t="inlineStr">
        <is>
          <t>750 ml</t>
        </is>
      </c>
      <c r="G16" s="91" t="inlineStr">
        <is>
          <t>Dark Grey (Limited)</t>
        </is>
      </c>
      <c r="H16" s="91" t="inlineStr">
        <is>
          <t>150 L</t>
        </is>
      </c>
      <c r="I16" s="91" t="inlineStr">
        <is>
          <t>Ahlstrom + ACF</t>
        </is>
      </c>
      <c r="J16" s="108" t="n">
        <v>4399</v>
      </c>
      <c r="K16" s="108" t="n">
        <v>3499</v>
      </c>
      <c r="L16" s="108" t="n">
        <v>3699</v>
      </c>
      <c r="M16" s="108" t="n">
        <v>3899</v>
      </c>
      <c r="N16" s="99" t="inlineStr">
        <is>
          <t>In stock</t>
        </is>
      </c>
      <c r="O16" s="91" t="n">
        <v>5</v>
      </c>
      <c r="P16" s="91" t="inlineStr">
        <is>
          <t>GO</t>
        </is>
      </c>
    </row>
    <row r="17">
      <c r="A17" s="91" t="inlineStr">
        <is>
          <t>UC-BOG-SSB-008-BL</t>
        </is>
      </c>
      <c r="B17" s="91" t="inlineStr">
        <is>
          <t>UC-BOG-SSB-008</t>
        </is>
      </c>
      <c r="C17" s="91" t="inlineStr">
        <is>
          <t>Bottles &amp; On-the-Go</t>
        </is>
      </c>
      <c r="D17" s="91" t="inlineStr">
        <is>
          <t>Hydra Flux</t>
        </is>
      </c>
      <c r="E17" s="91" t="inlineStr">
        <is>
          <t>Product name：740ML stainless steel bottle with filter straw Model NO : B01  Main material: Food-grade 304 Stainless Steel  Color: Blue, gray, pink, dark green (other colors available) Filter material: Ahlstrom Rated filt</t>
        </is>
      </c>
      <c r="F17" s="91" t="inlineStr">
        <is>
          <t>750 ml</t>
        </is>
      </c>
      <c r="G17" s="91" t="inlineStr">
        <is>
          <t>Blue</t>
        </is>
      </c>
      <c r="H17" s="91" t="inlineStr">
        <is>
          <t>150 L</t>
        </is>
      </c>
      <c r="I17" s="91" t="inlineStr">
        <is>
          <t>Ahlstrom + ACF</t>
        </is>
      </c>
      <c r="J17" s="108" t="n">
        <v>4399</v>
      </c>
      <c r="K17" s="108" t="n">
        <v>3499</v>
      </c>
      <c r="L17" s="108" t="n">
        <v>3699</v>
      </c>
      <c r="M17" s="108" t="n">
        <v>3899</v>
      </c>
      <c r="N17" s="99" t="inlineStr">
        <is>
          <t>In stock</t>
        </is>
      </c>
      <c r="O17" s="91" t="n">
        <v>5</v>
      </c>
      <c r="P17" s="91" t="inlineStr">
        <is>
          <t>GO</t>
        </is>
      </c>
    </row>
    <row r="18">
      <c r="A18" s="91" t="inlineStr">
        <is>
          <t>UC-BOG-SSB-008-PK</t>
        </is>
      </c>
      <c r="B18" s="91" t="inlineStr">
        <is>
          <t>UC-BOG-SSB-008</t>
        </is>
      </c>
      <c r="C18" s="91" t="inlineStr">
        <is>
          <t>Bottles &amp; On-the-Go</t>
        </is>
      </c>
      <c r="D18" s="91" t="inlineStr">
        <is>
          <t>Hydra Flux</t>
        </is>
      </c>
      <c r="E18" s="91" t="inlineStr">
        <is>
          <t>Product name：740ML stainless steel bottle with filter straw Model NO : B01  Main material: Food-grade 304 Stainless Steel  Color: Blue, gray, pink, dark green (other colors available) Filter material: Ahlstrom Rated filt</t>
        </is>
      </c>
      <c r="F18" s="91" t="inlineStr">
        <is>
          <t>750 ml</t>
        </is>
      </c>
      <c r="G18" s="91" t="inlineStr">
        <is>
          <t>Pink</t>
        </is>
      </c>
      <c r="H18" s="91" t="inlineStr">
        <is>
          <t>150 L</t>
        </is>
      </c>
      <c r="I18" s="91" t="inlineStr">
        <is>
          <t>Ahlstrom + ACF</t>
        </is>
      </c>
      <c r="J18" s="108" t="n">
        <v>4399</v>
      </c>
      <c r="K18" s="108" t="n">
        <v>3499</v>
      </c>
      <c r="L18" s="108" t="n">
        <v>3699</v>
      </c>
      <c r="M18" s="108" t="n">
        <v>3899</v>
      </c>
      <c r="N18" s="99" t="inlineStr">
        <is>
          <t>In stock</t>
        </is>
      </c>
      <c r="O18" s="91" t="n">
        <v>5</v>
      </c>
      <c r="P18" s="91" t="inlineStr">
        <is>
          <t>GO</t>
        </is>
      </c>
    </row>
    <row r="19">
      <c r="A19" s="91" t="inlineStr">
        <is>
          <t>UC-BOG-SSB-008-GY</t>
        </is>
      </c>
      <c r="B19" s="91" t="inlineStr">
        <is>
          <t>UC-BOG-SSB-008</t>
        </is>
      </c>
      <c r="C19" s="91" t="inlineStr">
        <is>
          <t>Bottles &amp; On-the-Go</t>
        </is>
      </c>
      <c r="D19" s="91" t="inlineStr">
        <is>
          <t>Hydra Flux</t>
        </is>
      </c>
      <c r="E19" s="91" t="inlineStr">
        <is>
          <t>Product name：740ML stainless steel bottle with filter straw Model NO : B01  Main material: Food-grade 304 Stainless Steel  Color: Blue, gray, pink, dark green (other colors available) Filter material: Ahlstrom Rated filt</t>
        </is>
      </c>
      <c r="F19" s="91" t="inlineStr">
        <is>
          <t>750 ml</t>
        </is>
      </c>
      <c r="G19" s="91" t="inlineStr">
        <is>
          <t>Grey</t>
        </is>
      </c>
      <c r="H19" s="91" t="inlineStr">
        <is>
          <t>150 L</t>
        </is>
      </c>
      <c r="I19" s="91" t="inlineStr">
        <is>
          <t>Ahlstrom + ACF</t>
        </is>
      </c>
      <c r="J19" s="108" t="n">
        <v>4399</v>
      </c>
      <c r="K19" s="108" t="n">
        <v>3499</v>
      </c>
      <c r="L19" s="108" t="n">
        <v>3699</v>
      </c>
      <c r="M19" s="108" t="n">
        <v>3899</v>
      </c>
      <c r="N19" s="99" t="inlineStr">
        <is>
          <t>In stock</t>
        </is>
      </c>
      <c r="O19" s="91" t="n">
        <v>5</v>
      </c>
      <c r="P19" s="91" t="inlineStr">
        <is>
          <t>GO</t>
        </is>
      </c>
    </row>
    <row r="20">
      <c r="A20" s="91" t="inlineStr">
        <is>
          <t>UC-BOG-TRB-009-GY</t>
        </is>
      </c>
      <c r="B20" s="91" t="inlineStr">
        <is>
          <t>UC-BOG-TRB-009</t>
        </is>
      </c>
      <c r="C20" s="91" t="inlineStr">
        <is>
          <t>Bottles &amp; On-the-Go</t>
        </is>
      </c>
      <c r="D20" s="91" t="inlineStr">
        <is>
          <t>Truva Go</t>
        </is>
      </c>
      <c r="E20" s="91" t="inlineStr">
        <is>
          <t>Product name：769ML Tritan bottle with filter straw Model NO : B02 Main material: Food-grade Tritan plastic (BPA free) Color: Blue, gray, pink (other colors available) Filter material: Ahlstrom Rated filtering water : 150</t>
        </is>
      </c>
      <c r="F20" s="91" t="inlineStr">
        <is>
          <t>750 ml</t>
        </is>
      </c>
      <c r="G20" s="91" t="inlineStr">
        <is>
          <t>Grey</t>
        </is>
      </c>
      <c r="H20" s="91" t="inlineStr">
        <is>
          <t>150 L</t>
        </is>
      </c>
      <c r="I20" s="91" t="inlineStr">
        <is>
          <t>Ahlstrom + ACF</t>
        </is>
      </c>
      <c r="J20" s="108" t="n">
        <v>3199</v>
      </c>
      <c r="K20" s="108" t="n">
        <v>2499</v>
      </c>
      <c r="L20" s="108" t="n">
        <v>2699</v>
      </c>
      <c r="M20" s="108" t="n">
        <v>2799</v>
      </c>
      <c r="N20" s="99" t="inlineStr">
        <is>
          <t>In stock</t>
        </is>
      </c>
      <c r="O20" s="91" t="n">
        <v>12</v>
      </c>
      <c r="P20" s="91" t="inlineStr">
        <is>
          <t>GO</t>
        </is>
      </c>
    </row>
    <row r="21">
      <c r="A21" s="91" t="inlineStr">
        <is>
          <t>UC-BOG-TRB-009-PK</t>
        </is>
      </c>
      <c r="B21" s="91" t="inlineStr">
        <is>
          <t>UC-BOG-TRB-009</t>
        </is>
      </c>
      <c r="C21" s="91" t="inlineStr">
        <is>
          <t>Bottles &amp; On-the-Go</t>
        </is>
      </c>
      <c r="D21" s="91" t="inlineStr">
        <is>
          <t>Truva Go</t>
        </is>
      </c>
      <c r="E21" s="91" t="inlineStr">
        <is>
          <t>Product name：769ML Tritan bottle with filter straw Model NO : B02 Main material: Food-grade Tritan plastic (BPA free) Color: Blue, gray, pink (other colors available) Filter material: Ahlstrom Rated filtering water : 150</t>
        </is>
      </c>
      <c r="F21" s="91" t="inlineStr">
        <is>
          <t>750 ml</t>
        </is>
      </c>
      <c r="G21" s="91" t="inlineStr">
        <is>
          <t>Pink</t>
        </is>
      </c>
      <c r="H21" s="91" t="inlineStr">
        <is>
          <t>150 L</t>
        </is>
      </c>
      <c r="I21" s="91" t="inlineStr">
        <is>
          <t>Ahlstrom + ACF</t>
        </is>
      </c>
      <c r="J21" s="108" t="n">
        <v>3199</v>
      </c>
      <c r="K21" s="108" t="n">
        <v>2499</v>
      </c>
      <c r="L21" s="108" t="n">
        <v>2699</v>
      </c>
      <c r="M21" s="108" t="n">
        <v>2799</v>
      </c>
      <c r="N21" s="99" t="inlineStr">
        <is>
          <t>In stock</t>
        </is>
      </c>
      <c r="O21" s="91" t="n">
        <v>12</v>
      </c>
      <c r="P21" s="91" t="inlineStr">
        <is>
          <t>GO</t>
        </is>
      </c>
    </row>
    <row r="22">
      <c r="A22" s="91" t="inlineStr">
        <is>
          <t>UC-BOG-TRB-009-BL</t>
        </is>
      </c>
      <c r="B22" s="91" t="inlineStr">
        <is>
          <t>UC-BOG-TRB-009</t>
        </is>
      </c>
      <c r="C22" s="91" t="inlineStr">
        <is>
          <t>Bottles &amp; On-the-Go</t>
        </is>
      </c>
      <c r="D22" s="91" t="inlineStr">
        <is>
          <t>Truva Go</t>
        </is>
      </c>
      <c r="E22" s="91" t="inlineStr">
        <is>
          <t>Product name：769ML Tritan bottle with filter straw Model NO : B02 Main material: Food-grade Tritan plastic (BPA free) Color: Blue, gray, pink (other colors available) Filter material: Ahlstrom Rated filtering water : 150</t>
        </is>
      </c>
      <c r="F22" s="91" t="inlineStr">
        <is>
          <t>750 ml</t>
        </is>
      </c>
      <c r="G22" s="91" t="inlineStr">
        <is>
          <t>Blue</t>
        </is>
      </c>
      <c r="H22" s="91" t="inlineStr">
        <is>
          <t>150 L</t>
        </is>
      </c>
      <c r="I22" s="91" t="inlineStr">
        <is>
          <t>Ahlstrom + ACF</t>
        </is>
      </c>
      <c r="J22" s="108" t="n">
        <v>3199</v>
      </c>
      <c r="K22" s="108" t="n">
        <v>2499</v>
      </c>
      <c r="L22" s="108" t="n">
        <v>2699</v>
      </c>
      <c r="M22" s="108" t="n">
        <v>2799</v>
      </c>
      <c r="N22" s="99" t="inlineStr">
        <is>
          <t>In stock</t>
        </is>
      </c>
      <c r="O22" s="91" t="n">
        <v>12</v>
      </c>
      <c r="P22" s="91" t="inlineStr">
        <is>
          <t>GO</t>
        </is>
      </c>
    </row>
    <row r="23">
      <c r="A23" s="91" t="inlineStr">
        <is>
          <t>UC-BOG-TRB-010-GN</t>
        </is>
      </c>
      <c r="B23" s="91" t="inlineStr">
        <is>
          <t>UC-BOG-TRB-010</t>
        </is>
      </c>
      <c r="C23" s="91" t="inlineStr">
        <is>
          <t>Bottles &amp; On-the-Go</t>
        </is>
      </c>
      <c r="D23" s="91" t="inlineStr">
        <is>
          <t>Viva Drop</t>
        </is>
      </c>
      <c r="E23" s="91" t="inlineStr">
        <is>
          <t>Product name：500ML Tritan bottle with filter straw Model NO : B06 Main material: Food-grade Tritan plastic (BPA free) Color: Black, green (other colors available) Filter material: Ahlstrom Rated filtering water : 150L Fu</t>
        </is>
      </c>
      <c r="F23" s="91" t="inlineStr">
        <is>
          <t>500 ml</t>
        </is>
      </c>
      <c r="G23" s="91" t="inlineStr">
        <is>
          <t>Green</t>
        </is>
      </c>
      <c r="H23" s="91" t="inlineStr">
        <is>
          <t>150 L</t>
        </is>
      </c>
      <c r="I23" s="91" t="inlineStr">
        <is>
          <t>Ahlstrom + ACF</t>
        </is>
      </c>
      <c r="J23" s="108" t="n">
        <v>2299.99</v>
      </c>
      <c r="K23" s="108" t="n">
        <v>1839.99</v>
      </c>
      <c r="L23" s="108" t="n">
        <v>1959.99</v>
      </c>
      <c r="M23" s="108" t="n">
        <v>2069.99</v>
      </c>
      <c r="N23" s="99" t="inlineStr">
        <is>
          <t>In stock</t>
        </is>
      </c>
      <c r="O23" s="91" t="n">
        <v>35</v>
      </c>
      <c r="P23" s="91" t="inlineStr">
        <is>
          <t>GO</t>
        </is>
      </c>
    </row>
    <row r="24">
      <c r="A24" s="91" t="inlineStr">
        <is>
          <t>UC-BOG-TRB-010-BK</t>
        </is>
      </c>
      <c r="B24" s="91" t="inlineStr">
        <is>
          <t>UC-BOG-TRB-010</t>
        </is>
      </c>
      <c r="C24" s="91" t="inlineStr">
        <is>
          <t>Bottles &amp; On-the-Go</t>
        </is>
      </c>
      <c r="D24" s="91" t="inlineStr">
        <is>
          <t>Viva Drop</t>
        </is>
      </c>
      <c r="E24" s="91" t="inlineStr">
        <is>
          <t>Product name：500ML Tritan bottle with filter straw Model NO : B06 Main material: Food-grade Tritan plastic (BPA free) Color: Black, green (other colors available) Filter material: Ahlstrom Rated filtering water : 150L Fu</t>
        </is>
      </c>
      <c r="F24" s="91" t="inlineStr">
        <is>
          <t>500 ml</t>
        </is>
      </c>
      <c r="G24" s="91" t="inlineStr">
        <is>
          <t>Black</t>
        </is>
      </c>
      <c r="H24" s="91" t="inlineStr">
        <is>
          <t>150 L</t>
        </is>
      </c>
      <c r="I24" s="91" t="inlineStr">
        <is>
          <t>Ahlstrom + ACF</t>
        </is>
      </c>
      <c r="J24" s="108" t="n">
        <v>2299.99</v>
      </c>
      <c r="K24" s="108" t="n">
        <v>1839.99</v>
      </c>
      <c r="L24" s="108" t="n">
        <v>1959.99</v>
      </c>
      <c r="M24" s="108" t="n">
        <v>2069.99</v>
      </c>
      <c r="N24" s="99" t="inlineStr">
        <is>
          <t>In stock</t>
        </is>
      </c>
      <c r="O24" s="91" t="n">
        <v>35</v>
      </c>
      <c r="P24" s="91" t="inlineStr">
        <is>
          <t>GO</t>
        </is>
      </c>
    </row>
    <row r="25">
      <c r="A25" s="91" t="inlineStr">
        <is>
          <t>UC-BOG-TRB-011-BK</t>
        </is>
      </c>
      <c r="B25" s="91" t="inlineStr">
        <is>
          <t>UC-BOG-TRB-011</t>
        </is>
      </c>
      <c r="C25" s="91" t="inlineStr">
        <is>
          <t>Bottles &amp; On-the-Go</t>
        </is>
      </c>
      <c r="D25" s="91" t="inlineStr">
        <is>
          <t>Gym Buddy</t>
        </is>
      </c>
      <c r="E25" s="91" t="inlineStr">
        <is>
          <t>*Bacterial removal rate 99.999% *Virus removal rate 99.9% *Initial removal rate of heavy metals: 99% *lifetime: 150L *575*465*440mm/40pcs/14KG</t>
        </is>
      </c>
      <c r="F25" s="91" t="inlineStr">
        <is>
          <t>1200 ml</t>
        </is>
      </c>
      <c r="G25" s="91" t="inlineStr">
        <is>
          <t>Black</t>
        </is>
      </c>
      <c r="H25" s="91" t="inlineStr">
        <is>
          <t>150 L</t>
        </is>
      </c>
      <c r="I25" s="91" t="inlineStr">
        <is>
          <t>Ahlstrom + ACF</t>
        </is>
      </c>
      <c r="J25" s="108" t="n">
        <v>3599</v>
      </c>
      <c r="K25" s="108" t="n">
        <v>2899</v>
      </c>
      <c r="L25" s="108" t="n">
        <v>2999</v>
      </c>
      <c r="M25" s="108" t="n">
        <v>3199</v>
      </c>
      <c r="N25" s="99" t="inlineStr">
        <is>
          <t>In stock</t>
        </is>
      </c>
      <c r="O25" s="91" t="n">
        <v>12</v>
      </c>
      <c r="P25" s="91" t="inlineStr">
        <is>
          <t>GO</t>
        </is>
      </c>
    </row>
    <row r="26">
      <c r="A26" s="91" t="inlineStr">
        <is>
          <t>UC-BOG-TRB-011-GN</t>
        </is>
      </c>
      <c r="B26" s="91" t="inlineStr">
        <is>
          <t>UC-BOG-TRB-011</t>
        </is>
      </c>
      <c r="C26" s="91" t="inlineStr">
        <is>
          <t>Bottles &amp; On-the-Go</t>
        </is>
      </c>
      <c r="D26" s="91" t="inlineStr">
        <is>
          <t>Gym Buddy</t>
        </is>
      </c>
      <c r="E26" s="91" t="inlineStr">
        <is>
          <t>*Bacterial removal rate 99.999% *Virus removal rate 99.9% *Initial removal rate of heavy metals: 99% *lifetime: 150L *575*465*440mm/40pcs/14KG</t>
        </is>
      </c>
      <c r="F26" s="91" t="inlineStr">
        <is>
          <t>1200 ml</t>
        </is>
      </c>
      <c r="G26" s="91" t="inlineStr">
        <is>
          <t>Green</t>
        </is>
      </c>
      <c r="H26" s="91" t="inlineStr">
        <is>
          <t>150 L</t>
        </is>
      </c>
      <c r="I26" s="91" t="inlineStr">
        <is>
          <t>Ahlstrom + ACF</t>
        </is>
      </c>
      <c r="J26" s="108" t="n">
        <v>3599</v>
      </c>
      <c r="K26" s="108" t="n">
        <v>2899</v>
      </c>
      <c r="L26" s="108" t="n">
        <v>2999</v>
      </c>
      <c r="M26" s="108" t="n">
        <v>3199</v>
      </c>
      <c r="N26" s="99" t="inlineStr">
        <is>
          <t>In stock</t>
        </is>
      </c>
      <c r="O26" s="91" t="n">
        <v>12</v>
      </c>
      <c r="P26" s="91" t="inlineStr">
        <is>
          <t>GO</t>
        </is>
      </c>
    </row>
    <row r="27">
      <c r="A27" s="91" t="inlineStr">
        <is>
          <t>UC-BOG-FCA-015-XX</t>
        </is>
      </c>
      <c r="B27" s="91" t="inlineStr">
        <is>
          <t>UC-BOG-FCA-015</t>
        </is>
      </c>
      <c r="C27" s="91" t="inlineStr">
        <is>
          <t>Bottles &amp; On-the-Go</t>
        </is>
      </c>
      <c r="D27" s="91" t="inlineStr">
        <is>
          <t>Filter Squeeze Ahlstrom</t>
        </is>
      </c>
      <c r="E27" s="91" t="inlineStr">
        <is>
          <t>For squeeze and  telescopic water filter bottle  replacement   Carton Capacity: 320*290*140mm/120pcs/2.25KG 425*225*290mm/300pcs/5KG</t>
        </is>
      </c>
      <c r="F27" s="91" t="inlineStr">
        <is>
          <t>—</t>
        </is>
      </c>
      <c r="G27" s="91" t="inlineStr">
        <is>
          <t>—</t>
        </is>
      </c>
      <c r="H27" s="91" t="inlineStr">
        <is>
          <t>—</t>
        </is>
      </c>
      <c r="I27" s="91" t="inlineStr">
        <is>
          <t>—</t>
        </is>
      </c>
      <c r="J27" s="108" t="n">
        <v>1079.99</v>
      </c>
      <c r="K27" s="108" t="n">
        <v>869.99</v>
      </c>
      <c r="L27" s="108" t="n">
        <v>919.99</v>
      </c>
      <c r="M27" s="108" t="n">
        <v>979.99</v>
      </c>
      <c r="N27" s="99" t="inlineStr">
        <is>
          <t>In stock</t>
        </is>
      </c>
      <c r="O27" s="91" t="n">
        <v>351</v>
      </c>
      <c r="P27" s="91" t="inlineStr">
        <is>
          <t>GO</t>
        </is>
      </c>
    </row>
    <row r="28">
      <c r="A28" s="91" t="inlineStr">
        <is>
          <t>UC-BOG-FST-016-BL</t>
        </is>
      </c>
      <c r="B28" s="91" t="inlineStr">
        <is>
          <t>UC-BOG-FST-016</t>
        </is>
      </c>
      <c r="C28" s="91" t="inlineStr">
        <is>
          <t>Bottles &amp; On-the-Go</t>
        </is>
      </c>
      <c r="D28" s="91" t="inlineStr">
        <is>
          <t>Survivor</t>
        </is>
      </c>
      <c r="E28" s="91" t="inlineStr">
        <is>
          <t>"*Bacterial removal rate 99.999% *Virus removal rate 99.9% *Initial removal rate of heavy metals: 99% *Lifetime: 500L"</t>
        </is>
      </c>
      <c r="F28" s="91" t="inlineStr">
        <is>
          <t>—</t>
        </is>
      </c>
      <c r="G28" s="91" t="inlineStr">
        <is>
          <t>Blue</t>
        </is>
      </c>
      <c r="H28" s="91" t="inlineStr">
        <is>
          <t>300 L</t>
        </is>
      </c>
      <c r="I28" s="91" t="inlineStr">
        <is>
          <t>UF membrane</t>
        </is>
      </c>
      <c r="J28" s="108" t="n">
        <v>1619.99</v>
      </c>
      <c r="K28" s="108" t="n">
        <v>1299.99</v>
      </c>
      <c r="L28" s="108" t="n">
        <v>1379.99</v>
      </c>
      <c r="M28" s="108" t="n">
        <v>1459.99</v>
      </c>
      <c r="N28" s="99" t="inlineStr">
        <is>
          <t>In stock</t>
        </is>
      </c>
      <c r="O28" s="91" t="n">
        <v>17</v>
      </c>
      <c r="P28" s="91" t="inlineStr">
        <is>
          <t>GO</t>
        </is>
      </c>
    </row>
    <row r="29">
      <c r="A29" s="91" t="inlineStr">
        <is>
          <t>UC-BOG-FST-016-OR</t>
        </is>
      </c>
      <c r="B29" s="91" t="inlineStr">
        <is>
          <t>UC-BOG-FST-016</t>
        </is>
      </c>
      <c r="C29" s="91" t="inlineStr">
        <is>
          <t>Bottles &amp; On-the-Go</t>
        </is>
      </c>
      <c r="D29" s="91" t="inlineStr">
        <is>
          <t>Survivor</t>
        </is>
      </c>
      <c r="E29" s="91" t="inlineStr">
        <is>
          <t>"*Bacterial removal rate 99.999% *Virus removal rate 99.9% *Initial removal rate of heavy metals: 99% *Lifetime: 500L"</t>
        </is>
      </c>
      <c r="F29" s="91" t="inlineStr">
        <is>
          <t>—</t>
        </is>
      </c>
      <c r="G29" s="91" t="inlineStr">
        <is>
          <t>Orange</t>
        </is>
      </c>
      <c r="H29" s="91" t="inlineStr">
        <is>
          <t>300 L</t>
        </is>
      </c>
      <c r="I29" s="91" t="inlineStr">
        <is>
          <t>UF membrane</t>
        </is>
      </c>
      <c r="J29" s="108" t="n">
        <v>1619.99</v>
      </c>
      <c r="K29" s="108" t="n">
        <v>1299.99</v>
      </c>
      <c r="L29" s="108" t="n">
        <v>1379.99</v>
      </c>
      <c r="M29" s="108" t="n">
        <v>1459.99</v>
      </c>
      <c r="N29" s="99" t="inlineStr">
        <is>
          <t>In stock</t>
        </is>
      </c>
      <c r="O29" s="91" t="n">
        <v>17</v>
      </c>
      <c r="P29" s="91" t="inlineStr">
        <is>
          <t>GO</t>
        </is>
      </c>
    </row>
    <row r="30">
      <c r="A30" s="91" t="inlineStr">
        <is>
          <t>UC-BOG-SHL-018-XX</t>
        </is>
      </c>
      <c r="B30" s="91" t="inlineStr">
        <is>
          <t>UC-BOG-SHL-018</t>
        </is>
      </c>
      <c r="C30" s="91" t="inlineStr">
        <is>
          <t>Bottles &amp; On-the-Go</t>
        </is>
      </c>
      <c r="D30" s="91" t="inlineStr">
        <is>
          <t>Shell</t>
        </is>
      </c>
      <c r="E30" s="91" t="inlineStr">
        <is>
          <t>Straw shell without filter for straw filter bottle</t>
        </is>
      </c>
      <c r="F30" s="91" t="inlineStr">
        <is>
          <t>—</t>
        </is>
      </c>
      <c r="G30" s="91" t="inlineStr">
        <is>
          <t>—</t>
        </is>
      </c>
      <c r="H30" s="91" t="inlineStr">
        <is>
          <t>—</t>
        </is>
      </c>
      <c r="I30" s="91" t="inlineStr">
        <is>
          <t>—</t>
        </is>
      </c>
      <c r="J30" s="108" t="n">
        <v>409.99</v>
      </c>
      <c r="K30" s="108" t="n">
        <v>329.99</v>
      </c>
      <c r="L30" s="108" t="n">
        <v>349.99</v>
      </c>
      <c r="M30" s="108" t="n">
        <v>369.99</v>
      </c>
      <c r="N30" s="99" t="inlineStr">
        <is>
          <t>In stock</t>
        </is>
      </c>
      <c r="O30" s="91" t="n">
        <v>50</v>
      </c>
      <c r="P30" s="91" t="inlineStr">
        <is>
          <t>GO</t>
        </is>
      </c>
    </row>
    <row r="31">
      <c r="A31" s="91" t="inlineStr">
        <is>
          <t>UC-SKW-SHF-019-WH</t>
        </is>
      </c>
      <c r="B31" s="91" t="inlineStr">
        <is>
          <t>UC-SKW-SHF-019</t>
        </is>
      </c>
      <c r="C31" s="91" t="inlineStr">
        <is>
          <t>Skincare &amp; Wellness</t>
        </is>
      </c>
      <c r="D31" s="91" t="inlineStr">
        <is>
          <t>Chanel</t>
        </is>
      </c>
      <c r="E31" s="91" t="inlineStr">
        <is>
          <t>Stage1: Steel mesh Stage2: Actived Carbon Fiber (ACF) Stage3: KDF 55  Stage4: Calcium Sulphite(CaSO₃) Stage5: Vitamin C beads Stage6: Lemon Aroma Beads  Lifetime: 15000 Liters (3-4 Months ) Function: Remove sand, residua</t>
        </is>
      </c>
      <c r="F31" s="91" t="inlineStr">
        <is>
          <t>8 L/min</t>
        </is>
      </c>
      <c r="G31" s="91" t="inlineStr">
        <is>
          <t>White / Ceramic</t>
        </is>
      </c>
      <c r="H31" s="91" t="inlineStr">
        <is>
          <t>20000 L</t>
        </is>
      </c>
      <c r="I31" s="91" t="inlineStr">
        <is>
          <t>PP+ACF+carbon+KDF+Vit C</t>
        </is>
      </c>
      <c r="J31" s="108" t="n">
        <v>3299</v>
      </c>
      <c r="K31" s="108" t="n">
        <v>2599</v>
      </c>
      <c r="L31" s="108" t="n">
        <v>2799</v>
      </c>
      <c r="M31" s="108" t="n">
        <v>2999</v>
      </c>
      <c r="N31" s="99" t="inlineStr">
        <is>
          <t>In stock</t>
        </is>
      </c>
      <c r="O31" s="91" t="n">
        <v>60</v>
      </c>
      <c r="P31" s="91" t="inlineStr">
        <is>
          <t>GO</t>
        </is>
      </c>
    </row>
    <row r="32">
      <c r="A32" s="91" t="inlineStr">
        <is>
          <t>UC-SKW-SHF-020-WH</t>
        </is>
      </c>
      <c r="B32" s="91" t="inlineStr">
        <is>
          <t>UC-SKW-SHF-020</t>
        </is>
      </c>
      <c r="C32" s="91" t="inlineStr">
        <is>
          <t>Skincare &amp; Wellness</t>
        </is>
      </c>
      <c r="D32" s="91" t="inlineStr">
        <is>
          <t>Derma Care</t>
        </is>
      </c>
      <c r="E32" s="91" t="inlineStr">
        <is>
          <t>Stage1: Steel mesh Stage2: Actived Carbon Fiber (ACF) Stage3: KDF 55  Stage4: Calcium Sulphite(CaSO₃) Stage5: Vitamin C beads Stage6: Lemon Aroma Beads  Lifetime: 15000 Liters (3-4 Months ) Depending source of water Func</t>
        </is>
      </c>
      <c r="F32" s="91" t="inlineStr">
        <is>
          <t>8 L/min</t>
        </is>
      </c>
      <c r="G32" s="91" t="inlineStr">
        <is>
          <t>White / Tritan</t>
        </is>
      </c>
      <c r="H32" s="91" t="inlineStr">
        <is>
          <t>20000 L</t>
        </is>
      </c>
      <c r="I32" s="91" t="inlineStr">
        <is>
          <t>PP+ACF+carbon+KDF+Vit C</t>
        </is>
      </c>
      <c r="J32" s="108" t="n">
        <v>2569.99</v>
      </c>
      <c r="K32" s="108" t="n">
        <v>2059.99</v>
      </c>
      <c r="L32" s="108" t="n">
        <v>2189.99</v>
      </c>
      <c r="M32" s="108" t="n">
        <v>2309.99</v>
      </c>
      <c r="N32" s="99" t="inlineStr">
        <is>
          <t>In stock</t>
        </is>
      </c>
      <c r="O32" s="91" t="n">
        <v>50</v>
      </c>
      <c r="P32" s="91" t="inlineStr">
        <is>
          <t>GO</t>
        </is>
      </c>
    </row>
    <row r="33">
      <c r="A33" s="91" t="inlineStr">
        <is>
          <t>UC-SKW-SHF-021-SS</t>
        </is>
      </c>
      <c r="B33" s="91" t="inlineStr">
        <is>
          <t>UC-SKW-SHF-021</t>
        </is>
      </c>
      <c r="C33" s="91" t="inlineStr">
        <is>
          <t>Skincare &amp; Wellness</t>
        </is>
      </c>
      <c r="D33" s="91" t="inlineStr">
        <is>
          <t>J'adore</t>
        </is>
      </c>
      <c r="E33" s="91" t="inlineStr">
        <is>
          <t>Shower water filter  4 stages: Calcium Sulphite+Vitamin C+Carbon Fibre+Aromatherapy Beads Calcium Sulphite: Reduces chlorine. Granular Activated Carbon: Reduces trihalomethane (THMs) and odor. Aromatherapy Beads: Allevia</t>
        </is>
      </c>
      <c r="F33" s="91" t="inlineStr">
        <is>
          <t>8 L/min</t>
        </is>
      </c>
      <c r="G33" s="91" t="inlineStr">
        <is>
          <t>Stainless</t>
        </is>
      </c>
      <c r="H33" s="91" t="inlineStr">
        <is>
          <t>20000 L</t>
        </is>
      </c>
      <c r="I33" s="91" t="inlineStr">
        <is>
          <t>PP+ACF+carbon+KDF+Vit C</t>
        </is>
      </c>
      <c r="J33" s="108" t="n">
        <v>4099</v>
      </c>
      <c r="K33" s="108" t="n">
        <v>3299</v>
      </c>
      <c r="L33" s="108" t="n">
        <v>3499</v>
      </c>
      <c r="M33" s="108" t="n">
        <v>3699</v>
      </c>
      <c r="N33" s="99" t="inlineStr">
        <is>
          <t>In stock</t>
        </is>
      </c>
      <c r="O33" s="91" t="n">
        <v>65</v>
      </c>
      <c r="P33" s="91" t="inlineStr">
        <is>
          <t>GO</t>
        </is>
      </c>
    </row>
    <row r="34">
      <c r="A34" s="91" t="inlineStr">
        <is>
          <t>UC-SKW-SHF-022-WH</t>
        </is>
      </c>
      <c r="B34" s="91" t="inlineStr">
        <is>
          <t>UC-SKW-SHF-022</t>
        </is>
      </c>
      <c r="C34" s="91" t="inlineStr">
        <is>
          <t>Skincare &amp; Wellness</t>
        </is>
      </c>
      <c r="D34" s="91" t="inlineStr">
        <is>
          <t>Pure Drop</t>
        </is>
      </c>
      <c r="E34" s="91" t="inlineStr">
        <is>
          <t>Function: Remove sand, residual chlorine and other organic compounds, color,odor, heavy metal.... Protect skin and hair from contamination and damage from impurities in city water Lifespan：8000L  no replacement filter  C</t>
        </is>
      </c>
      <c r="F34" s="91" t="inlineStr">
        <is>
          <t>8 L/min</t>
        </is>
      </c>
      <c r="G34" s="91" t="inlineStr">
        <is>
          <t>White</t>
        </is>
      </c>
      <c r="H34" s="91" t="inlineStr">
        <is>
          <t>20000 L</t>
        </is>
      </c>
      <c r="I34" s="91" t="inlineStr">
        <is>
          <t>PP+ACF+carbon+KDF+Vit C</t>
        </is>
      </c>
      <c r="J34" s="108" t="n">
        <v>2429.99</v>
      </c>
      <c r="K34" s="108" t="n">
        <v>1949.99</v>
      </c>
      <c r="L34" s="108" t="n">
        <v>2069.99</v>
      </c>
      <c r="M34" s="108" t="n">
        <v>2189.99</v>
      </c>
      <c r="N34" s="99" t="inlineStr">
        <is>
          <t>In stock</t>
        </is>
      </c>
      <c r="O34" s="91" t="n">
        <v>10</v>
      </c>
      <c r="P34" s="91" t="inlineStr">
        <is>
          <t>GO</t>
        </is>
      </c>
    </row>
    <row r="35">
      <c r="A35" s="91" t="inlineStr">
        <is>
          <t>UC-SKW-SHC-023-XX</t>
        </is>
      </c>
      <c r="B35" s="91" t="inlineStr">
        <is>
          <t>UC-SKW-SHC-023</t>
        </is>
      </c>
      <c r="C35" s="91" t="inlineStr">
        <is>
          <t>Skincare &amp; Wellness</t>
        </is>
      </c>
      <c r="D35" s="91" t="inlineStr">
        <is>
          <t>Shower Filter</t>
        </is>
      </c>
      <c r="E35" s="91" t="inlineStr"/>
      <c r="F35" s="91" t="inlineStr">
        <is>
          <t>—</t>
        </is>
      </c>
      <c r="G35" s="91" t="inlineStr">
        <is>
          <t>—</t>
        </is>
      </c>
      <c r="H35" s="91" t="inlineStr">
        <is>
          <t>20000 L</t>
        </is>
      </c>
      <c r="I35" s="91" t="inlineStr">
        <is>
          <t>ACF+carbon+KDF+Vit C</t>
        </is>
      </c>
      <c r="J35" s="108" t="n">
        <v>1759.99</v>
      </c>
      <c r="K35" s="108" t="n">
        <v>1409.99</v>
      </c>
      <c r="L35" s="108" t="n">
        <v>1499.99</v>
      </c>
      <c r="M35" s="108" t="n">
        <v>1579.99</v>
      </c>
      <c r="N35" s="99" t="inlineStr">
        <is>
          <t>In stock</t>
        </is>
      </c>
      <c r="O35" s="91" t="n">
        <v>94</v>
      </c>
      <c r="P35" s="91" t="inlineStr">
        <is>
          <t>GO</t>
        </is>
      </c>
    </row>
    <row r="36">
      <c r="A36" s="91" t="inlineStr">
        <is>
          <t>UC-SKW-DFO-027-XX</t>
        </is>
      </c>
      <c r="B36" s="91" t="inlineStr">
        <is>
          <t>UC-SKW-DFO-027</t>
        </is>
      </c>
      <c r="C36" s="91" t="inlineStr">
        <is>
          <t>Skincare &amp; Wellness</t>
        </is>
      </c>
      <c r="D36" s="91" t="inlineStr">
        <is>
          <t xml:space="preserve">Derma Flux  Fiiter </t>
        </is>
      </c>
      <c r="E36" s="91" t="inlineStr">
        <is>
          <t>extra replace filter cartrdge  Showe Filter media: 200g KDF+ 60g Calcium sulfite</t>
        </is>
      </c>
      <c r="F36" s="91" t="inlineStr">
        <is>
          <t>—</t>
        </is>
      </c>
      <c r="G36" s="91" t="inlineStr">
        <is>
          <t>—</t>
        </is>
      </c>
      <c r="H36" s="91" t="inlineStr">
        <is>
          <t>—</t>
        </is>
      </c>
      <c r="I36" s="91" t="inlineStr">
        <is>
          <t>—</t>
        </is>
      </c>
      <c r="J36" s="108" t="n">
        <v>1889.99</v>
      </c>
      <c r="K36" s="108" t="n">
        <v>1519.99</v>
      </c>
      <c r="L36" s="108" t="n">
        <v>1609.99</v>
      </c>
      <c r="M36" s="108" t="n">
        <v>1709.99</v>
      </c>
      <c r="N36" s="99" t="inlineStr">
        <is>
          <t>In stock</t>
        </is>
      </c>
      <c r="O36" s="91" t="n">
        <v>2</v>
      </c>
      <c r="P36" s="91" t="inlineStr">
        <is>
          <t>GO</t>
        </is>
      </c>
    </row>
    <row r="37">
      <c r="A37" s="91" t="inlineStr">
        <is>
          <t>UC-HOU-ROP-PP-XX</t>
        </is>
      </c>
      <c r="B37" s="91" t="inlineStr">
        <is>
          <t>UC-HOU-ROP-PP</t>
        </is>
      </c>
      <c r="C37" s="91" t="inlineStr">
        <is>
          <t>Home &amp; Utility</t>
        </is>
      </c>
      <c r="D37" s="91" t="inlineStr">
        <is>
          <t>RO Replacement</t>
        </is>
      </c>
      <c r="E37" s="91" t="inlineStr"/>
      <c r="F37" s="91" t="inlineStr">
        <is>
          <t>—</t>
        </is>
      </c>
      <c r="G37" s="91" t="inlineStr">
        <is>
          <t>—</t>
        </is>
      </c>
      <c r="H37" s="91" t="inlineStr">
        <is>
          <t>—</t>
        </is>
      </c>
      <c r="I37" s="91" t="inlineStr">
        <is>
          <t>—</t>
        </is>
      </c>
      <c r="J37" s="108" t="n">
        <v>99.98999999999999</v>
      </c>
      <c r="K37" s="108" t="n">
        <v>79.98999999999999</v>
      </c>
      <c r="L37" s="108" t="n">
        <v>89.98999999999999</v>
      </c>
      <c r="M37" s="108" t="n">
        <v>89.98999999999999</v>
      </c>
      <c r="N37" s="109" t="inlineStr">
        <is>
          <t>Pre-order — incoming shipment</t>
        </is>
      </c>
      <c r="O37" s="91" t="n">
        <v>0</v>
      </c>
      <c r="P37" s="91" t="inlineStr">
        <is>
          <t>GO</t>
        </is>
      </c>
    </row>
    <row r="38">
      <c r="A38" s="91" t="inlineStr">
        <is>
          <t>UC-HOU-ROP-UDF-XX</t>
        </is>
      </c>
      <c r="B38" s="91" t="inlineStr">
        <is>
          <t>UC-HOU-ROP-UDF</t>
        </is>
      </c>
      <c r="C38" s="91" t="inlineStr">
        <is>
          <t>Home &amp; Utility</t>
        </is>
      </c>
      <c r="D38" s="91" t="inlineStr">
        <is>
          <t>RO Replacement</t>
        </is>
      </c>
      <c r="E38" s="91" t="inlineStr"/>
      <c r="F38" s="91" t="inlineStr">
        <is>
          <t>—</t>
        </is>
      </c>
      <c r="G38" s="91" t="inlineStr">
        <is>
          <t>—</t>
        </is>
      </c>
      <c r="H38" s="91" t="inlineStr">
        <is>
          <t>—</t>
        </is>
      </c>
      <c r="I38" s="91" t="inlineStr">
        <is>
          <t>—</t>
        </is>
      </c>
      <c r="J38" s="108" t="n">
        <v>809.99</v>
      </c>
      <c r="K38" s="108" t="n">
        <v>649.99</v>
      </c>
      <c r="L38" s="108" t="n">
        <v>689.99</v>
      </c>
      <c r="M38" s="108" t="n">
        <v>729.99</v>
      </c>
      <c r="N38" s="109" t="inlineStr">
        <is>
          <t>Pre-order — incoming shipment</t>
        </is>
      </c>
      <c r="O38" s="91" t="n">
        <v>0</v>
      </c>
      <c r="P38" s="91" t="inlineStr">
        <is>
          <t>GO</t>
        </is>
      </c>
    </row>
    <row r="39">
      <c r="A39" s="91" t="inlineStr">
        <is>
          <t>UC-HOU-ROP-CTO-XX</t>
        </is>
      </c>
      <c r="B39" s="91" t="inlineStr">
        <is>
          <t>UC-HOU-ROP-CTO</t>
        </is>
      </c>
      <c r="C39" s="91" t="inlineStr">
        <is>
          <t>Home &amp; Utility</t>
        </is>
      </c>
      <c r="D39" s="91" t="inlineStr">
        <is>
          <t>RO Replacement</t>
        </is>
      </c>
      <c r="E39" s="91" t="inlineStr"/>
      <c r="F39" s="91" t="inlineStr">
        <is>
          <t>—</t>
        </is>
      </c>
      <c r="G39" s="91" t="inlineStr">
        <is>
          <t>—</t>
        </is>
      </c>
      <c r="H39" s="91" t="inlineStr">
        <is>
          <t>—</t>
        </is>
      </c>
      <c r="I39" s="91" t="inlineStr">
        <is>
          <t>—</t>
        </is>
      </c>
      <c r="J39" s="108" t="n">
        <v>809.99</v>
      </c>
      <c r="K39" s="108" t="n">
        <v>649.99</v>
      </c>
      <c r="L39" s="108" t="n">
        <v>689.99</v>
      </c>
      <c r="M39" s="108" t="n">
        <v>729.99</v>
      </c>
      <c r="N39" s="109" t="inlineStr">
        <is>
          <t>Pre-order — incoming shipment</t>
        </is>
      </c>
      <c r="O39" s="91" t="n">
        <v>0</v>
      </c>
      <c r="P39" s="91" t="inlineStr">
        <is>
          <t>GO</t>
        </is>
      </c>
    </row>
    <row r="40">
      <c r="A40" s="91" t="inlineStr">
        <is>
          <t>UC-HOU-ROM-100g-XX</t>
        </is>
      </c>
      <c r="B40" s="91" t="inlineStr">
        <is>
          <t>UC-HOU-ROM-100g</t>
        </is>
      </c>
      <c r="C40" s="91" t="inlineStr">
        <is>
          <t>Home &amp; Utility</t>
        </is>
      </c>
      <c r="D40" s="91" t="inlineStr">
        <is>
          <t>RO Replacement</t>
        </is>
      </c>
      <c r="E40" s="91" t="inlineStr"/>
      <c r="F40" s="91" t="inlineStr">
        <is>
          <t>—</t>
        </is>
      </c>
      <c r="G40" s="91" t="inlineStr">
        <is>
          <t>—</t>
        </is>
      </c>
      <c r="H40" s="91" t="inlineStr">
        <is>
          <t>—</t>
        </is>
      </c>
      <c r="I40" s="91" t="inlineStr">
        <is>
          <t>—</t>
        </is>
      </c>
      <c r="J40" s="108" t="n">
        <v>1219.99</v>
      </c>
      <c r="K40" s="108" t="n">
        <v>979.99</v>
      </c>
      <c r="L40" s="108" t="n">
        <v>1039.99</v>
      </c>
      <c r="M40" s="108" t="n">
        <v>1099.99</v>
      </c>
      <c r="N40" s="109" t="inlineStr">
        <is>
          <t>Pre-order — incoming shipment</t>
        </is>
      </c>
      <c r="O40" s="91" t="n">
        <v>0</v>
      </c>
      <c r="P40" s="91" t="inlineStr">
        <is>
          <t>GO</t>
        </is>
      </c>
    </row>
    <row r="41">
      <c r="A41" s="91" t="inlineStr">
        <is>
          <t>UC-HOU-RO-YMT33-XX</t>
        </is>
      </c>
      <c r="B41" s="91" t="inlineStr">
        <is>
          <t>UC-HOU-RO-YMT33</t>
        </is>
      </c>
      <c r="C41" s="91" t="inlineStr">
        <is>
          <t>Home &amp; Utility</t>
        </is>
      </c>
      <c r="D41" s="91" t="inlineStr">
        <is>
          <t>RO Replacement</t>
        </is>
      </c>
      <c r="E41" s="91" t="inlineStr">
        <is>
          <t>Yellow mineral T33 for RO machine</t>
        </is>
      </c>
      <c r="F41" s="91" t="inlineStr">
        <is>
          <t>—</t>
        </is>
      </c>
      <c r="G41" s="91" t="inlineStr">
        <is>
          <t>—</t>
        </is>
      </c>
      <c r="H41" s="91" t="inlineStr">
        <is>
          <t>—</t>
        </is>
      </c>
      <c r="I41" s="91" t="inlineStr">
        <is>
          <t>—</t>
        </is>
      </c>
      <c r="J41" s="108" t="n">
        <v>329.99</v>
      </c>
      <c r="K41" s="108" t="n">
        <v>259.99</v>
      </c>
      <c r="L41" s="108" t="n">
        <v>279.99</v>
      </c>
      <c r="M41" s="108" t="n">
        <v>299.99</v>
      </c>
      <c r="N41" s="109" t="inlineStr">
        <is>
          <t>Pre-order — incoming shipment</t>
        </is>
      </c>
      <c r="O41" s="91" t="n">
        <v>0</v>
      </c>
      <c r="P41" s="91" t="inlineStr">
        <is>
          <t>GO</t>
        </is>
      </c>
    </row>
    <row r="42">
      <c r="A42" s="91" t="inlineStr">
        <is>
          <t>UC-HOU-RO-CBT33-XX</t>
        </is>
      </c>
      <c r="B42" s="91" t="inlineStr">
        <is>
          <t>UC-HOU-RO-CBT33</t>
        </is>
      </c>
      <c r="C42" s="91" t="inlineStr">
        <is>
          <t>Home &amp; Utility</t>
        </is>
      </c>
      <c r="D42" s="91" t="inlineStr">
        <is>
          <t>RO Replacement</t>
        </is>
      </c>
      <c r="E42" s="91" t="inlineStr">
        <is>
          <t>Post Carbon T33</t>
        </is>
      </c>
      <c r="F42" s="91" t="inlineStr">
        <is>
          <t>—</t>
        </is>
      </c>
      <c r="G42" s="91" t="inlineStr">
        <is>
          <t>—</t>
        </is>
      </c>
      <c r="H42" s="91" t="inlineStr">
        <is>
          <t>—</t>
        </is>
      </c>
      <c r="I42" s="91" t="inlineStr">
        <is>
          <t>—</t>
        </is>
      </c>
      <c r="J42" s="108" t="n">
        <v>539.99</v>
      </c>
      <c r="K42" s="108" t="n">
        <v>439.99</v>
      </c>
      <c r="L42" s="108" t="n">
        <v>459.99</v>
      </c>
      <c r="M42" s="108" t="n">
        <v>489.99</v>
      </c>
      <c r="N42" s="109" t="inlineStr">
        <is>
          <t>Pre-order — incoming shipment</t>
        </is>
      </c>
      <c r="O42" s="91" t="n">
        <v>0</v>
      </c>
      <c r="P42" s="91" t="inlineStr">
        <is>
          <t>GO</t>
        </is>
      </c>
    </row>
    <row r="43">
      <c r="A43" s="91" t="inlineStr">
        <is>
          <t>UC-BOG-ECO-ECF1-XX</t>
        </is>
      </c>
      <c r="B43" s="91" t="inlineStr">
        <is>
          <t>UC-BOG-ECO-ECF1</t>
        </is>
      </c>
      <c r="C43" s="91" t="inlineStr">
        <is>
          <t>Bottles &amp; On-the-Go</t>
        </is>
      </c>
      <c r="D43" s="91" t="inlineStr">
        <is>
          <t>Ecosmart Filter</t>
        </is>
      </c>
      <c r="E43" s="91" t="inlineStr">
        <is>
          <t>Product name：Portable Electric Water Purifier Model NO : E01 Main material: Food-grade ABS Color: Green(other colors available) Filter material: AHLSTROM +UF Rated filtering water : 1000L Function : *2 stages purificatio</t>
        </is>
      </c>
      <c r="F43" s="91" t="inlineStr">
        <is>
          <t>—</t>
        </is>
      </c>
      <c r="G43" s="91" t="inlineStr">
        <is>
          <t>—</t>
        </is>
      </c>
      <c r="H43" s="91" t="inlineStr">
        <is>
          <t>—</t>
        </is>
      </c>
      <c r="I43" s="91" t="inlineStr">
        <is>
          <t>—</t>
        </is>
      </c>
      <c r="J43" s="108" t="n">
        <v>11990</v>
      </c>
      <c r="K43" s="108" t="n">
        <v>9990</v>
      </c>
      <c r="L43" s="108" t="n">
        <v>9990</v>
      </c>
      <c r="M43" s="108" t="n">
        <v>10990</v>
      </c>
      <c r="N43" s="109" t="inlineStr">
        <is>
          <t>Pre-order — incoming shipment</t>
        </is>
      </c>
      <c r="O43" s="91" t="n">
        <v>0</v>
      </c>
      <c r="P43" s="91" t="inlineStr">
        <is>
          <t>GO</t>
        </is>
      </c>
    </row>
    <row r="45">
      <c r="A45" s="88" t="inlineStr">
        <is>
          <t>39 publishable child SKUs</t>
        </is>
      </c>
    </row>
    <row r="46">
      <c r="A46" s="92" t="inlineStr">
        <is>
          <t>HELD BACK BY THE GATE — do not publish</t>
        </is>
      </c>
    </row>
    <row r="47">
      <c r="A47" t="inlineStr">
        <is>
          <t>UC-BOG-FLB-012-XX</t>
        </is>
      </c>
      <c r="D47" t="inlineStr">
        <is>
          <t>Timbo</t>
        </is>
      </c>
      <c r="P47" s="92" t="inlineStr">
        <is>
          <t>BLOCKED</t>
        </is>
      </c>
    </row>
    <row r="48">
      <c r="A48" t="inlineStr">
        <is>
          <t>UC-BOG-SQB-013-XX</t>
        </is>
      </c>
      <c r="D48" t="inlineStr">
        <is>
          <t>Breeze</t>
        </is>
      </c>
      <c r="P48" s="92" t="inlineStr">
        <is>
          <t>BLOCKED</t>
        </is>
      </c>
    </row>
    <row r="49">
      <c r="A49" t="inlineStr">
        <is>
          <t>UC-BOG-SQB-014-PK</t>
        </is>
      </c>
      <c r="D49" t="inlineStr">
        <is>
          <t>Flex</t>
        </is>
      </c>
      <c r="P49" s="92" t="inlineStr">
        <is>
          <t>BLOCKED</t>
        </is>
      </c>
    </row>
    <row r="50">
      <c r="A50" t="inlineStr">
        <is>
          <t>UC-BOG-SQB-014-GY</t>
        </is>
      </c>
      <c r="D50" t="inlineStr">
        <is>
          <t>Flex</t>
        </is>
      </c>
      <c r="P50" s="92" t="inlineStr">
        <is>
          <t>BLOCKED</t>
        </is>
      </c>
    </row>
    <row r="51">
      <c r="A51" t="inlineStr">
        <is>
          <t>UC-BOG-UF-100-XX</t>
        </is>
      </c>
      <c r="D51" t="inlineStr">
        <is>
          <t>Ultra Fold</t>
        </is>
      </c>
      <c r="P51" s="92" t="inlineStr">
        <is>
          <t>BLOCKED</t>
        </is>
      </c>
    </row>
    <row r="52">
      <c r="A52" t="inlineStr">
        <is>
          <t>UC-BOG-FCS-017-XX</t>
        </is>
      </c>
      <c r="D52" t="inlineStr">
        <is>
          <t>Survivor  filter</t>
        </is>
      </c>
      <c r="P52" s="92" t="inlineStr">
        <is>
          <t>BLOCKED</t>
        </is>
      </c>
    </row>
    <row r="53">
      <c r="A53" t="inlineStr">
        <is>
          <t>UC-SKW-DFS-024-WH</t>
        </is>
      </c>
      <c r="D53" t="inlineStr">
        <is>
          <t>Derma Flux</t>
        </is>
      </c>
      <c r="P53" s="92" t="inlineStr">
        <is>
          <t>BLOCKED</t>
        </is>
      </c>
    </row>
    <row r="54">
      <c r="A54" t="inlineStr">
        <is>
          <t>UC-SKW-DFS-025-XX</t>
        </is>
      </c>
      <c r="D54" t="inlineStr">
        <is>
          <t>Derma Flux</t>
        </is>
      </c>
      <c r="P54" s="92" t="inlineStr">
        <is>
          <t>BLOCKED</t>
        </is>
      </c>
    </row>
    <row r="55">
      <c r="A55" t="inlineStr">
        <is>
          <t>UC-SKW-DFS-026-XX</t>
        </is>
      </c>
      <c r="D55" t="inlineStr">
        <is>
          <t>Derma Flux</t>
        </is>
      </c>
      <c r="P55" s="92" t="inlineStr">
        <is>
          <t>BLOCKED</t>
        </is>
      </c>
    </row>
    <row r="56">
      <c r="A56" t="inlineStr">
        <is>
          <t>UC-HOU-ROT-029-XX</t>
        </is>
      </c>
      <c r="D56" t="inlineStr">
        <is>
          <t>RO Mini Tank</t>
        </is>
      </c>
      <c r="P56" s="92" t="inlineStr">
        <is>
          <t>BLOCKED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62"/>
  <sheetViews>
    <sheetView workbookViewId="0">
      <pane ySplit="5" topLeftCell="A6" activePane="bottomLeft" state="frozen"/>
      <selection pane="bottomLeft" activeCell="A1" sqref="A1"/>
    </sheetView>
  </sheetViews>
  <sheetFormatPr baseColWidth="8" defaultRowHeight="15"/>
  <cols>
    <col width="24" customWidth="1" min="1" max="1"/>
    <col width="20" customWidth="1" min="2" max="2"/>
    <col width="20" customWidth="1" min="3" max="3"/>
    <col width="14" customWidth="1" min="4" max="4"/>
    <col width="13" customWidth="1" min="5" max="5"/>
    <col width="11" customWidth="1" min="6" max="6"/>
    <col width="12" customWidth="1" min="7" max="7"/>
    <col width="12" customWidth="1" min="8" max="8"/>
    <col width="12" customWidth="1" min="9" max="9"/>
    <col width="14" customWidth="1" min="10" max="10"/>
    <col width="16" customWidth="1" min="11" max="11"/>
    <col width="34" customWidth="1" min="12" max="12"/>
  </cols>
  <sheetData>
    <row r="1">
      <c r="A1" s="89" t="inlineStr">
        <is>
          <t>PHYSICAL COUNT — BY CHILD. One line per countable unit. Print, count, key the COUNTED column.</t>
        </is>
      </c>
    </row>
    <row r="2">
      <c r="A2" s="92" t="inlineStr">
        <is>
          <t>The 12 Mar 2026 anchor was taken at PARENT level. Where a parent has colours the anchor below is a SPLIT, not a count — that is what this exercise replaces.</t>
        </is>
      </c>
    </row>
    <row r="3">
      <c r="C3" t="inlineStr">
        <is>
          <t>COUNT DATE</t>
        </is>
      </c>
      <c r="D3" s="88" t="inlineStr">
        <is>
          <t>2026-09-__</t>
        </is>
      </c>
      <c r="F3" t="inlineStr">
        <is>
          <t>COUNTED BY</t>
        </is>
      </c>
      <c r="G3" t="inlineStr">
        <is>
          <t>____________</t>
        </is>
      </c>
    </row>
    <row r="5">
      <c r="A5" s="90" t="inlineStr">
        <is>
          <t>CHILD_SKU</t>
        </is>
      </c>
      <c r="B5" s="90" t="inlineStr">
        <is>
          <t>PRODUCT</t>
        </is>
      </c>
      <c r="C5" s="90" t="inlineStr">
        <is>
          <t>COLOUR / FINISH</t>
        </is>
      </c>
      <c r="D5" s="90" t="inlineStr">
        <is>
          <t>CAPACITY</t>
        </is>
      </c>
      <c r="E5" s="90" t="inlineStr">
        <is>
          <t>LOCATION</t>
        </is>
      </c>
      <c r="F5" s="90" t="inlineStr">
        <is>
          <t>ANCHOR</t>
        </is>
      </c>
      <c r="G5" s="90" t="inlineStr">
        <is>
          <t>ANCHOR_IS</t>
        </is>
      </c>
      <c r="H5" s="90" t="inlineStr">
        <is>
          <t>COUNTED</t>
        </is>
      </c>
      <c r="I5" s="90" t="inlineStr">
        <is>
          <t>VARIANCE</t>
        </is>
      </c>
      <c r="J5" s="90" t="inlineStr">
        <is>
          <t>STATUS</t>
        </is>
      </c>
      <c r="K5" s="90" t="inlineStr">
        <is>
          <t>VALUE @ COST</t>
        </is>
      </c>
      <c r="L5" s="90" t="inlineStr">
        <is>
          <t>NOTE</t>
        </is>
      </c>
    </row>
    <row r="6">
      <c r="A6" s="91" t="inlineStr">
        <is>
          <t>UC-HOU-PHRO-001-XX</t>
        </is>
      </c>
      <c r="B6" s="91" t="inlineStr">
        <is>
          <t>Pure Home</t>
        </is>
      </c>
      <c r="C6" s="91" t="inlineStr">
        <is>
          <t>—</t>
        </is>
      </c>
      <c r="D6" s="91" t="inlineStr">
        <is>
          <t>—</t>
        </is>
      </c>
      <c r="E6" s="91" t="inlineStr"/>
      <c r="F6" s="91" t="n">
        <v>0</v>
      </c>
      <c r="G6" s="91" t="inlineStr">
        <is>
          <t>never stocked</t>
        </is>
      </c>
      <c r="I6">
        <f>IF($H6="","",$H6-$F6)</f>
        <v/>
      </c>
      <c r="J6">
        <f>IF($H6="","NOT COUNTED",IF($I6=0,"MATCH",IF($I6&gt;0,"FOUND +"&amp;$I6,"SHORT "&amp;$I6)))</f>
        <v/>
      </c>
      <c r="K6">
        <f>IFERROR(IF($H6="","",$H6*INDEX(LANDED_COST_BUILD!$O:$O,MATCH(LEFT($A6,LEN($A6)-3),LANDED_COST_BUILD!$A:$A,0))*FX_USD_KES),"")</f>
        <v/>
      </c>
    </row>
    <row r="7">
      <c r="A7" s="91" t="inlineStr">
        <is>
          <t>UC-HOU-URO-001-XX</t>
        </is>
      </c>
      <c r="B7" s="91" t="inlineStr">
        <is>
          <t>Ultra Pure</t>
        </is>
      </c>
      <c r="C7" s="91" t="inlineStr">
        <is>
          <t>—</t>
        </is>
      </c>
      <c r="D7" s="91" t="inlineStr">
        <is>
          <t>—</t>
        </is>
      </c>
      <c r="E7" s="91" t="inlineStr"/>
      <c r="F7" s="91" t="n">
        <v>0</v>
      </c>
      <c r="G7" s="91" t="inlineStr">
        <is>
          <t>never stocked</t>
        </is>
      </c>
      <c r="I7">
        <f>IF($H7="","",$H7-$F7)</f>
        <v/>
      </c>
      <c r="J7">
        <f>IF($H7="","NOT COUNTED",IF($I7=0,"MATCH",IF($I7&gt;0,"FOUND +"&amp;$I7,"SHORT "&amp;$I7)))</f>
        <v/>
      </c>
      <c r="K7">
        <f>IFERROR(IF($H7="","",$H7*INDEX(LANDED_COST_BUILD!$O:$O,MATCH(LEFT($A7,LEN($A7)-3),LANDED_COST_BUILD!$A:$A,0))*FX_USD_KES),"")</f>
        <v/>
      </c>
    </row>
    <row r="8">
      <c r="A8" s="91" t="inlineStr">
        <is>
          <t>UC-HOU-URO-002-XX</t>
        </is>
      </c>
      <c r="B8" s="91" t="inlineStr">
        <is>
          <t>Ultra Pure 2</t>
        </is>
      </c>
      <c r="C8" s="91" t="inlineStr">
        <is>
          <t>—</t>
        </is>
      </c>
      <c r="D8" s="91" t="inlineStr">
        <is>
          <t>—</t>
        </is>
      </c>
      <c r="E8" s="91" t="inlineStr"/>
      <c r="F8" s="91" t="n">
        <v>0</v>
      </c>
      <c r="G8" s="91" t="inlineStr">
        <is>
          <t>never stocked</t>
        </is>
      </c>
      <c r="I8">
        <f>IF($H8="","",$H8-$F8)</f>
        <v/>
      </c>
      <c r="J8">
        <f>IF($H8="","NOT COUNTED",IF($I8=0,"MATCH",IF($I8&gt;0,"FOUND +"&amp;$I8,"SHORT "&amp;$I8)))</f>
        <v/>
      </c>
      <c r="K8">
        <f>IFERROR(IF($H8="","",$H8*INDEX(LANDED_COST_BUILD!$O:$O,MATCH(LEFT($A8,LEN($A8)-3),LANDED_COST_BUILD!$A:$A,0))*FX_USD_KES),"")</f>
        <v/>
      </c>
    </row>
    <row r="9">
      <c r="A9" s="91" t="inlineStr">
        <is>
          <t>UC-HOU-ROS-001-XX</t>
        </is>
      </c>
      <c r="B9" s="91" t="inlineStr">
        <is>
          <t>Pure Blue</t>
        </is>
      </c>
      <c r="C9" s="91" t="inlineStr">
        <is>
          <t>—</t>
        </is>
      </c>
      <c r="D9" s="91" t="inlineStr">
        <is>
          <t>—</t>
        </is>
      </c>
      <c r="E9" s="91" t="inlineStr"/>
      <c r="F9" s="91" t="n">
        <v>0</v>
      </c>
      <c r="G9" s="91" t="inlineStr">
        <is>
          <t>never stocked</t>
        </is>
      </c>
      <c r="I9">
        <f>IF($H9="","",$H9-$F9)</f>
        <v/>
      </c>
      <c r="J9">
        <f>IF($H9="","NOT COUNTED",IF($I9=0,"MATCH",IF($I9&gt;0,"FOUND +"&amp;$I9,"SHORT "&amp;$I9)))</f>
        <v/>
      </c>
      <c r="K9">
        <f>IFERROR(IF($H9="","",$H9*INDEX(LANDED_COST_BUILD!$O:$O,MATCH(LEFT($A9,LEN($A9)-3),LANDED_COST_BUILD!$A:$A,0))*FX_USD_KES),"")</f>
        <v/>
      </c>
    </row>
    <row r="10">
      <c r="A10" s="91" t="inlineStr">
        <is>
          <t>UC-COM-ROS-002-XX</t>
        </is>
      </c>
      <c r="B10" s="91" t="inlineStr">
        <is>
          <t>Aqua Stream 1200D</t>
        </is>
      </c>
      <c r="C10" s="91" t="inlineStr">
        <is>
          <t>—</t>
        </is>
      </c>
      <c r="D10" s="91" t="inlineStr">
        <is>
          <t>—</t>
        </is>
      </c>
      <c r="E10" s="91" t="inlineStr"/>
      <c r="F10" s="91" t="n">
        <v>0</v>
      </c>
      <c r="G10" s="91" t="inlineStr">
        <is>
          <t>never stocked</t>
        </is>
      </c>
      <c r="I10">
        <f>IF($H10="","",$H10-$F10)</f>
        <v/>
      </c>
      <c r="J10">
        <f>IF($H10="","NOT COUNTED",IF($I10=0,"MATCH",IF($I10&gt;0,"FOUND +"&amp;$I10,"SHORT "&amp;$I10)))</f>
        <v/>
      </c>
      <c r="K10">
        <f>IFERROR(IF($H10="","",$H10*INDEX(LANDED_COST_BUILD!$O:$O,MATCH(LEFT($A10,LEN($A10)-3),LANDED_COST_BUILD!$A:$A,0))*FX_USD_KES),"")</f>
        <v/>
      </c>
    </row>
    <row r="11">
      <c r="A11" s="91" t="inlineStr">
        <is>
          <t>UC-HOU-WPF-003-XX</t>
        </is>
      </c>
      <c r="B11" s="91" t="inlineStr">
        <is>
          <t>Pure Shield</t>
        </is>
      </c>
      <c r="C11" s="91" t="inlineStr">
        <is>
          <t>—</t>
        </is>
      </c>
      <c r="D11" s="91" t="inlineStr">
        <is>
          <t>—</t>
        </is>
      </c>
      <c r="E11" s="91" t="inlineStr"/>
      <c r="F11" s="91" t="n">
        <v>0</v>
      </c>
      <c r="G11" s="91" t="inlineStr">
        <is>
          <t>never stocked</t>
        </is>
      </c>
      <c r="I11">
        <f>IF($H11="","",$H11-$F11)</f>
        <v/>
      </c>
      <c r="J11">
        <f>IF($H11="","NOT COUNTED",IF($I11=0,"MATCH",IF($I11&gt;0,"FOUND +"&amp;$I11,"SHORT "&amp;$I11)))</f>
        <v/>
      </c>
      <c r="K11">
        <f>IFERROR(IF($H11="","",$H11*INDEX(LANDED_COST_BUILD!$O:$O,MATCH(LEFT($A11,LEN($A11)-3),LANDED_COST_BUILD!$A:$A,0))*FX_USD_KES),"")</f>
        <v/>
      </c>
    </row>
    <row r="12">
      <c r="A12" s="91" t="inlineStr">
        <is>
          <t>UC-HOU-USF-004-XX</t>
        </is>
      </c>
      <c r="B12" s="91" t="inlineStr">
        <is>
          <t>Aqua Drop</t>
        </is>
      </c>
      <c r="C12" s="91" t="inlineStr">
        <is>
          <t>—</t>
        </is>
      </c>
      <c r="D12" s="91" t="inlineStr">
        <is>
          <t>—</t>
        </is>
      </c>
      <c r="E12" s="91" t="inlineStr"/>
      <c r="F12" s="91" t="n">
        <v>0</v>
      </c>
      <c r="G12" s="91" t="inlineStr">
        <is>
          <t>never stocked</t>
        </is>
      </c>
      <c r="I12">
        <f>IF($H12="","",$H12-$F12)</f>
        <v/>
      </c>
      <c r="J12">
        <f>IF($H12="","NOT COUNTED",IF($I12=0,"MATCH",IF($I12&gt;0,"FOUND +"&amp;$I12,"SHORT "&amp;$I12)))</f>
        <v/>
      </c>
      <c r="K12">
        <f>IFERROR(IF($H12="","",$H12*INDEX(LANDED_COST_BUILD!$O:$O,MATCH(LEFT($A12,LEN($A12)-3),LANDED_COST_BUILD!$A:$A,0))*FX_USD_KES),"")</f>
        <v/>
      </c>
    </row>
    <row r="13">
      <c r="A13" s="91" t="inlineStr">
        <is>
          <t>UC-HOU-TAP-005-WH</t>
        </is>
      </c>
      <c r="B13" s="91" t="inlineStr">
        <is>
          <t>Home sweet Home Filter set</t>
        </is>
      </c>
      <c r="C13" s="91" t="inlineStr">
        <is>
          <t>White</t>
        </is>
      </c>
      <c r="D13" s="91" t="inlineStr">
        <is>
          <t>8 L/min</t>
        </is>
      </c>
      <c r="E13" s="91" t="inlineStr"/>
      <c r="F13" s="91" t="n">
        <v>0</v>
      </c>
      <c r="G13" s="91" t="inlineStr">
        <is>
          <t>never stocked</t>
        </is>
      </c>
      <c r="I13">
        <f>IF($H13="","",$H13-$F13)</f>
        <v/>
      </c>
      <c r="J13">
        <f>IF($H13="","NOT COUNTED",IF($I13=0,"MATCH",IF($I13&gt;0,"FOUND +"&amp;$I13,"SHORT "&amp;$I13)))</f>
        <v/>
      </c>
      <c r="K13">
        <f>IFERROR(IF($H13="","",$H13*INDEX(LANDED_COST_BUILD!$O:$O,MATCH(LEFT($A13,LEN($A13)-3),LANDED_COST_BUILD!$A:$A,0))*FX_USD_KES),"")</f>
        <v/>
      </c>
    </row>
    <row r="14">
      <c r="A14" s="91" t="inlineStr">
        <is>
          <t>UC-HOU-TAPF-006-WH</t>
        </is>
      </c>
      <c r="B14" s="91" t="inlineStr">
        <is>
          <t>Home sweet Home Filter</t>
        </is>
      </c>
      <c r="C14" s="91" t="inlineStr">
        <is>
          <t>White</t>
        </is>
      </c>
      <c r="D14" s="91" t="inlineStr">
        <is>
          <t>—</t>
        </is>
      </c>
      <c r="E14" s="91" t="inlineStr"/>
      <c r="F14" s="91" t="n">
        <v>93</v>
      </c>
      <c r="G14" s="91" t="inlineStr">
        <is>
          <t>counted 12 Mar</t>
        </is>
      </c>
      <c r="I14">
        <f>IF($H14="","",$H14-$F14)</f>
        <v/>
      </c>
      <c r="J14">
        <f>IF($H14="","NOT COUNTED",IF($I14=0,"MATCH",IF($I14&gt;0,"FOUND +"&amp;$I14,"SHORT "&amp;$I14)))</f>
        <v/>
      </c>
      <c r="K14">
        <f>IFERROR(IF($H14="","",$H14*INDEX(LANDED_COST_BUILD!$O:$O,MATCH(LEFT($A14,LEN($A14)-3),LANDED_COST_BUILD!$A:$A,0))*FX_USD_KES),"")</f>
        <v/>
      </c>
    </row>
    <row r="15">
      <c r="A15" s="91" t="inlineStr">
        <is>
          <t>UC-HOU-WDFS-006-WH</t>
        </is>
      </c>
      <c r="B15" s="91" t="inlineStr">
        <is>
          <t>Wireless Dispenser Filter Set</t>
        </is>
      </c>
      <c r="C15" s="91" t="inlineStr">
        <is>
          <t>White</t>
        </is>
      </c>
      <c r="D15" s="91" t="inlineStr">
        <is>
          <t>—</t>
        </is>
      </c>
      <c r="E15" s="91" t="inlineStr"/>
      <c r="F15" s="91" t="n">
        <v>58</v>
      </c>
      <c r="G15" s="91" t="inlineStr">
        <is>
          <t>counted 12 Mar</t>
        </is>
      </c>
      <c r="I15">
        <f>IF($H15="","",$H15-$F15)</f>
        <v/>
      </c>
      <c r="J15">
        <f>IF($H15="","NOT COUNTED",IF($I15=0,"MATCH",IF($I15&gt;0,"FOUND +"&amp;$I15,"SHORT "&amp;$I15)))</f>
        <v/>
      </c>
      <c r="K15">
        <f>IFERROR(IF($H15="","",$H15*INDEX(LANDED_COST_BUILD!$O:$O,MATCH(LEFT($A15,LEN($A15)-3),LANDED_COST_BUILD!$A:$A,0))*FX_USD_KES),"")</f>
        <v/>
      </c>
    </row>
    <row r="16">
      <c r="A16" s="91" t="inlineStr">
        <is>
          <t>UC-HOU-DF-007-XX</t>
        </is>
      </c>
      <c r="B16" s="91" t="inlineStr">
        <is>
          <t>Dispenser Filter</t>
        </is>
      </c>
      <c r="C16" s="91" t="inlineStr">
        <is>
          <t>—</t>
        </is>
      </c>
      <c r="D16" s="91" t="inlineStr">
        <is>
          <t>—</t>
        </is>
      </c>
      <c r="E16" s="91" t="inlineStr"/>
      <c r="F16" s="91" t="n">
        <v>41</v>
      </c>
      <c r="G16" s="91" t="inlineStr">
        <is>
          <t>counted 12 Mar</t>
        </is>
      </c>
      <c r="I16">
        <f>IF($H16="","",$H16-$F16)</f>
        <v/>
      </c>
      <c r="J16">
        <f>IF($H16="","NOT COUNTED",IF($I16=0,"MATCH",IF($I16&gt;0,"FOUND +"&amp;$I16,"SHORT "&amp;$I16)))</f>
        <v/>
      </c>
      <c r="K16">
        <f>IFERROR(IF($H16="","",$H16*INDEX(LANDED_COST_BUILD!$O:$O,MATCH(LEFT($A16,LEN($A16)-3),LANDED_COST_BUILD!$A:$A,0))*FX_USD_KES),"")</f>
        <v/>
      </c>
    </row>
    <row r="17">
      <c r="A17" s="91" t="inlineStr">
        <is>
          <t>UC-BOG-SSB-008-DG</t>
        </is>
      </c>
      <c r="B17" s="91" t="inlineStr">
        <is>
          <t>Hydra Flux</t>
        </is>
      </c>
      <c r="C17" s="91" t="inlineStr">
        <is>
          <t>Dark Grey</t>
        </is>
      </c>
      <c r="D17" s="91" t="inlineStr">
        <is>
          <t>750 ml</t>
        </is>
      </c>
      <c r="E17" s="91" t="inlineStr"/>
      <c r="F17" s="91" t="n">
        <v>5</v>
      </c>
      <c r="G17" s="95" t="inlineStr">
        <is>
          <t>SPLIT — not a count</t>
        </is>
      </c>
      <c r="I17">
        <f>IF($H17="","",$H17-$F17)</f>
        <v/>
      </c>
      <c r="J17">
        <f>IF($H17="","NOT COUNTED",IF($I17=0,"MATCH",IF($I17&gt;0,"FOUND +"&amp;$I17,"SHORT "&amp;$I17)))</f>
        <v/>
      </c>
      <c r="K17">
        <f>IFERROR(IF($H17="","",$H17*INDEX(LANDED_COST_BUILD!$O:$O,MATCH(LEFT($A17,LEN($A17)-3),LANDED_COST_BUILD!$A:$A,0))*FX_USD_KES),"")</f>
        <v/>
      </c>
    </row>
    <row r="18">
      <c r="A18" s="91" t="inlineStr">
        <is>
          <t>UC-BOG-SSB-008-BL</t>
        </is>
      </c>
      <c r="B18" s="91" t="inlineStr">
        <is>
          <t>Hydra Flux</t>
        </is>
      </c>
      <c r="C18" s="91" t="inlineStr">
        <is>
          <t>Blue</t>
        </is>
      </c>
      <c r="D18" s="91" t="inlineStr">
        <is>
          <t>750 ml</t>
        </is>
      </c>
      <c r="E18" s="91" t="inlineStr"/>
      <c r="F18" s="91" t="n">
        <v>5</v>
      </c>
      <c r="G18" s="95" t="inlineStr">
        <is>
          <t>SPLIT — not a count</t>
        </is>
      </c>
      <c r="I18">
        <f>IF($H18="","",$H18-$F18)</f>
        <v/>
      </c>
      <c r="J18">
        <f>IF($H18="","NOT COUNTED",IF($I18=0,"MATCH",IF($I18&gt;0,"FOUND +"&amp;$I18,"SHORT "&amp;$I18)))</f>
        <v/>
      </c>
      <c r="K18">
        <f>IFERROR(IF($H18="","",$H18*INDEX(LANDED_COST_BUILD!$O:$O,MATCH(LEFT($A18,LEN($A18)-3),LANDED_COST_BUILD!$A:$A,0))*FX_USD_KES),"")</f>
        <v/>
      </c>
    </row>
    <row r="19">
      <c r="A19" s="91" t="inlineStr">
        <is>
          <t>UC-BOG-SSB-008-PK</t>
        </is>
      </c>
      <c r="B19" s="91" t="inlineStr">
        <is>
          <t>Hydra Flux</t>
        </is>
      </c>
      <c r="C19" s="91" t="inlineStr">
        <is>
          <t>Pink</t>
        </is>
      </c>
      <c r="D19" s="91" t="inlineStr">
        <is>
          <t>750 ml</t>
        </is>
      </c>
      <c r="E19" s="91" t="inlineStr"/>
      <c r="F19" s="91" t="n">
        <v>5</v>
      </c>
      <c r="G19" s="95" t="inlineStr">
        <is>
          <t>SPLIT — not a count</t>
        </is>
      </c>
      <c r="I19">
        <f>IF($H19="","",$H19-$F19)</f>
        <v/>
      </c>
      <c r="J19">
        <f>IF($H19="","NOT COUNTED",IF($I19=0,"MATCH",IF($I19&gt;0,"FOUND +"&amp;$I19,"SHORT "&amp;$I19)))</f>
        <v/>
      </c>
      <c r="K19">
        <f>IFERROR(IF($H19="","",$H19*INDEX(LANDED_COST_BUILD!$O:$O,MATCH(LEFT($A19,LEN($A19)-3),LANDED_COST_BUILD!$A:$A,0))*FX_USD_KES),"")</f>
        <v/>
      </c>
    </row>
    <row r="20">
      <c r="A20" s="91" t="inlineStr">
        <is>
          <t>UC-BOG-SSB-008-GY</t>
        </is>
      </c>
      <c r="B20" s="91" t="inlineStr">
        <is>
          <t>Hydra Flux</t>
        </is>
      </c>
      <c r="C20" s="91" t="inlineStr">
        <is>
          <t>Grey</t>
        </is>
      </c>
      <c r="D20" s="91" t="inlineStr">
        <is>
          <t>750 ml</t>
        </is>
      </c>
      <c r="E20" s="91" t="inlineStr"/>
      <c r="F20" s="91" t="n">
        <v>5</v>
      </c>
      <c r="G20" s="95" t="inlineStr">
        <is>
          <t>SPLIT — not a count</t>
        </is>
      </c>
      <c r="I20">
        <f>IF($H20="","",$H20-$F20)</f>
        <v/>
      </c>
      <c r="J20">
        <f>IF($H20="","NOT COUNTED",IF($I20=0,"MATCH",IF($I20&gt;0,"FOUND +"&amp;$I20,"SHORT "&amp;$I20)))</f>
        <v/>
      </c>
      <c r="K20">
        <f>IFERROR(IF($H20="","",$H20*INDEX(LANDED_COST_BUILD!$O:$O,MATCH(LEFT($A20,LEN($A20)-3),LANDED_COST_BUILD!$A:$A,0))*FX_USD_KES),"")</f>
        <v/>
      </c>
    </row>
    <row r="21">
      <c r="A21" s="91" t="inlineStr">
        <is>
          <t>UC-BOG-TRB-009-GY</t>
        </is>
      </c>
      <c r="B21" s="91" t="inlineStr">
        <is>
          <t>Truva Go</t>
        </is>
      </c>
      <c r="C21" s="91" t="inlineStr">
        <is>
          <t>Grey</t>
        </is>
      </c>
      <c r="D21" s="91" t="inlineStr">
        <is>
          <t>750 ml</t>
        </is>
      </c>
      <c r="E21" s="91" t="inlineStr"/>
      <c r="F21" s="91" t="n">
        <v>12</v>
      </c>
      <c r="G21" s="95" t="inlineStr">
        <is>
          <t>SPLIT — not a count</t>
        </is>
      </c>
      <c r="I21">
        <f>IF($H21="","",$H21-$F21)</f>
        <v/>
      </c>
      <c r="J21">
        <f>IF($H21="","NOT COUNTED",IF($I21=0,"MATCH",IF($I21&gt;0,"FOUND +"&amp;$I21,"SHORT "&amp;$I21)))</f>
        <v/>
      </c>
      <c r="K21">
        <f>IFERROR(IF($H21="","",$H21*INDEX(LANDED_COST_BUILD!$O:$O,MATCH(LEFT($A21,LEN($A21)-3),LANDED_COST_BUILD!$A:$A,0))*FX_USD_KES),"")</f>
        <v/>
      </c>
    </row>
    <row r="22">
      <c r="A22" s="91" t="inlineStr">
        <is>
          <t>UC-BOG-TRB-009-PK</t>
        </is>
      </c>
      <c r="B22" s="91" t="inlineStr">
        <is>
          <t>Truva Go</t>
        </is>
      </c>
      <c r="C22" s="91" t="inlineStr">
        <is>
          <t>Pink</t>
        </is>
      </c>
      <c r="D22" s="91" t="inlineStr">
        <is>
          <t>750 ml</t>
        </is>
      </c>
      <c r="E22" s="91" t="inlineStr"/>
      <c r="F22" s="91" t="n">
        <v>12</v>
      </c>
      <c r="G22" s="95" t="inlineStr">
        <is>
          <t>SPLIT — not a count</t>
        </is>
      </c>
      <c r="I22">
        <f>IF($H22="","",$H22-$F22)</f>
        <v/>
      </c>
      <c r="J22">
        <f>IF($H22="","NOT COUNTED",IF($I22=0,"MATCH",IF($I22&gt;0,"FOUND +"&amp;$I22,"SHORT "&amp;$I22)))</f>
        <v/>
      </c>
      <c r="K22">
        <f>IFERROR(IF($H22="","",$H22*INDEX(LANDED_COST_BUILD!$O:$O,MATCH(LEFT($A22,LEN($A22)-3),LANDED_COST_BUILD!$A:$A,0))*FX_USD_KES),"")</f>
        <v/>
      </c>
    </row>
    <row r="23">
      <c r="A23" s="91" t="inlineStr">
        <is>
          <t>UC-BOG-TRB-009-BL</t>
        </is>
      </c>
      <c r="B23" s="91" t="inlineStr">
        <is>
          <t>Truva Go</t>
        </is>
      </c>
      <c r="C23" s="91" t="inlineStr">
        <is>
          <t>Blue</t>
        </is>
      </c>
      <c r="D23" s="91" t="inlineStr">
        <is>
          <t>750 ml</t>
        </is>
      </c>
      <c r="E23" s="91" t="inlineStr"/>
      <c r="F23" s="91" t="n">
        <v>12</v>
      </c>
      <c r="G23" s="95" t="inlineStr">
        <is>
          <t>SPLIT — not a count</t>
        </is>
      </c>
      <c r="I23">
        <f>IF($H23="","",$H23-$F23)</f>
        <v/>
      </c>
      <c r="J23">
        <f>IF($H23="","NOT COUNTED",IF($I23=0,"MATCH",IF($I23&gt;0,"FOUND +"&amp;$I23,"SHORT "&amp;$I23)))</f>
        <v/>
      </c>
      <c r="K23">
        <f>IFERROR(IF($H23="","",$H23*INDEX(LANDED_COST_BUILD!$O:$O,MATCH(LEFT($A23,LEN($A23)-3),LANDED_COST_BUILD!$A:$A,0))*FX_USD_KES),"")</f>
        <v/>
      </c>
    </row>
    <row r="24">
      <c r="A24" s="91" t="inlineStr">
        <is>
          <t>UC-BOG-TRB-010-GN</t>
        </is>
      </c>
      <c r="B24" s="91" t="inlineStr">
        <is>
          <t>Viva Drop</t>
        </is>
      </c>
      <c r="C24" s="91" t="inlineStr">
        <is>
          <t>Green</t>
        </is>
      </c>
      <c r="D24" s="91" t="inlineStr">
        <is>
          <t>500 ml</t>
        </is>
      </c>
      <c r="E24" s="91" t="inlineStr"/>
      <c r="F24" s="91" t="n">
        <v>35</v>
      </c>
      <c r="G24" s="95" t="inlineStr">
        <is>
          <t>SPLIT — not a count</t>
        </is>
      </c>
      <c r="I24">
        <f>IF($H24="","",$H24-$F24)</f>
        <v/>
      </c>
      <c r="J24">
        <f>IF($H24="","NOT COUNTED",IF($I24=0,"MATCH",IF($I24&gt;0,"FOUND +"&amp;$I24,"SHORT "&amp;$I24)))</f>
        <v/>
      </c>
      <c r="K24">
        <f>IFERROR(IF($H24="","",$H24*INDEX(LANDED_COST_BUILD!$O:$O,MATCH(LEFT($A24,LEN($A24)-3),LANDED_COST_BUILD!$A:$A,0))*FX_USD_KES),"")</f>
        <v/>
      </c>
    </row>
    <row r="25">
      <c r="A25" s="91" t="inlineStr">
        <is>
          <t>UC-BOG-TRB-010-BK</t>
        </is>
      </c>
      <c r="B25" s="91" t="inlineStr">
        <is>
          <t>Viva Drop</t>
        </is>
      </c>
      <c r="C25" s="91" t="inlineStr">
        <is>
          <t>Black</t>
        </is>
      </c>
      <c r="D25" s="91" t="inlineStr">
        <is>
          <t>500 ml</t>
        </is>
      </c>
      <c r="E25" s="91" t="inlineStr"/>
      <c r="F25" s="91" t="n">
        <v>35</v>
      </c>
      <c r="G25" s="95" t="inlineStr">
        <is>
          <t>SPLIT — not a count</t>
        </is>
      </c>
      <c r="I25">
        <f>IF($H25="","",$H25-$F25)</f>
        <v/>
      </c>
      <c r="J25">
        <f>IF($H25="","NOT COUNTED",IF($I25=0,"MATCH",IF($I25&gt;0,"FOUND +"&amp;$I25,"SHORT "&amp;$I25)))</f>
        <v/>
      </c>
      <c r="K25">
        <f>IFERROR(IF($H25="","",$H25*INDEX(LANDED_COST_BUILD!$O:$O,MATCH(LEFT($A25,LEN($A25)-3),LANDED_COST_BUILD!$A:$A,0))*FX_USD_KES),"")</f>
        <v/>
      </c>
    </row>
    <row r="26">
      <c r="A26" s="91" t="inlineStr">
        <is>
          <t>UC-BOG-TRB-011-BK</t>
        </is>
      </c>
      <c r="B26" s="91" t="inlineStr">
        <is>
          <t>Gym Buddy</t>
        </is>
      </c>
      <c r="C26" s="91" t="inlineStr">
        <is>
          <t>Black</t>
        </is>
      </c>
      <c r="D26" s="91" t="inlineStr">
        <is>
          <t>1200 ml</t>
        </is>
      </c>
      <c r="E26" s="91" t="inlineStr"/>
      <c r="F26" s="91" t="n">
        <v>12</v>
      </c>
      <c r="G26" s="95" t="inlineStr">
        <is>
          <t>SPLIT — not a count</t>
        </is>
      </c>
      <c r="I26">
        <f>IF($H26="","",$H26-$F26)</f>
        <v/>
      </c>
      <c r="J26">
        <f>IF($H26="","NOT COUNTED",IF($I26=0,"MATCH",IF($I26&gt;0,"FOUND +"&amp;$I26,"SHORT "&amp;$I26)))</f>
        <v/>
      </c>
      <c r="K26">
        <f>IFERROR(IF($H26="","",$H26*INDEX(LANDED_COST_BUILD!$O:$O,MATCH(LEFT($A26,LEN($A26)-3),LANDED_COST_BUILD!$A:$A,0))*FX_USD_KES),"")</f>
        <v/>
      </c>
    </row>
    <row r="27">
      <c r="A27" s="91" t="inlineStr">
        <is>
          <t>UC-BOG-TRB-011-GN</t>
        </is>
      </c>
      <c r="B27" s="91" t="inlineStr">
        <is>
          <t>Gym Buddy</t>
        </is>
      </c>
      <c r="C27" s="91" t="inlineStr">
        <is>
          <t>Green</t>
        </is>
      </c>
      <c r="D27" s="91" t="inlineStr">
        <is>
          <t>1200 ml</t>
        </is>
      </c>
      <c r="E27" s="91" t="inlineStr"/>
      <c r="F27" s="91" t="n">
        <v>12</v>
      </c>
      <c r="G27" s="95" t="inlineStr">
        <is>
          <t>SPLIT — not a count</t>
        </is>
      </c>
      <c r="I27">
        <f>IF($H27="","",$H27-$F27)</f>
        <v/>
      </c>
      <c r="J27">
        <f>IF($H27="","NOT COUNTED",IF($I27=0,"MATCH",IF($I27&gt;0,"FOUND +"&amp;$I27,"SHORT "&amp;$I27)))</f>
        <v/>
      </c>
      <c r="K27">
        <f>IFERROR(IF($H27="","",$H27*INDEX(LANDED_COST_BUILD!$O:$O,MATCH(LEFT($A27,LEN($A27)-3),LANDED_COST_BUILD!$A:$A,0))*FX_USD_KES),"")</f>
        <v/>
      </c>
    </row>
    <row r="28">
      <c r="A28" s="91" t="inlineStr">
        <is>
          <t>UC-BOG-FLB-012-XX</t>
        </is>
      </c>
      <c r="B28" s="91" t="inlineStr">
        <is>
          <t>Timbo</t>
        </is>
      </c>
      <c r="C28" s="91" t="inlineStr">
        <is>
          <t>—</t>
        </is>
      </c>
      <c r="D28" s="91" t="inlineStr">
        <is>
          <t>350 ml</t>
        </is>
      </c>
      <c r="E28" s="91" t="inlineStr"/>
      <c r="F28" s="91" t="n">
        <v>3</v>
      </c>
      <c r="G28" s="91" t="inlineStr">
        <is>
          <t>counted 12 Mar</t>
        </is>
      </c>
      <c r="I28">
        <f>IF($H28="","",$H28-$F28)</f>
        <v/>
      </c>
      <c r="J28">
        <f>IF($H28="","NOT COUNTED",IF($I28=0,"MATCH",IF($I28&gt;0,"FOUND +"&amp;$I28,"SHORT "&amp;$I28)))</f>
        <v/>
      </c>
      <c r="K28">
        <f>IFERROR(IF($H28="","",$H28*INDEX(LANDED_COST_BUILD!$O:$O,MATCH(LEFT($A28,LEN($A28)-3),LANDED_COST_BUILD!$A:$A,0))*FX_USD_KES),"")</f>
        <v/>
      </c>
    </row>
    <row r="29">
      <c r="A29" s="91" t="inlineStr">
        <is>
          <t>UC-BOG-SQB-013-XX</t>
        </is>
      </c>
      <c r="B29" s="91" t="inlineStr">
        <is>
          <t>Breeze</t>
        </is>
      </c>
      <c r="C29" s="91" t="inlineStr">
        <is>
          <t>—</t>
        </is>
      </c>
      <c r="D29" s="91" t="inlineStr">
        <is>
          <t>600 ml</t>
        </is>
      </c>
      <c r="E29" s="91" t="inlineStr"/>
      <c r="F29" s="91" t="n">
        <v>0</v>
      </c>
      <c r="G29" s="91" t="inlineStr">
        <is>
          <t>never stocked</t>
        </is>
      </c>
      <c r="I29">
        <f>IF($H29="","",$H29-$F29)</f>
        <v/>
      </c>
      <c r="J29">
        <f>IF($H29="","NOT COUNTED",IF($I29=0,"MATCH",IF($I29&gt;0,"FOUND +"&amp;$I29,"SHORT "&amp;$I29)))</f>
        <v/>
      </c>
      <c r="K29">
        <f>IFERROR(IF($H29="","",$H29*INDEX(LANDED_COST_BUILD!$O:$O,MATCH(LEFT($A29,LEN($A29)-3),LANDED_COST_BUILD!$A:$A,0))*FX_USD_KES),"")</f>
        <v/>
      </c>
    </row>
    <row r="30">
      <c r="A30" s="91" t="inlineStr">
        <is>
          <t>UC-BOG-SQB-014-PK</t>
        </is>
      </c>
      <c r="B30" s="91" t="inlineStr">
        <is>
          <t>Flex</t>
        </is>
      </c>
      <c r="C30" s="91" t="inlineStr">
        <is>
          <t>Pink</t>
        </is>
      </c>
      <c r="D30" s="91" t="inlineStr">
        <is>
          <t>1000 ml</t>
        </is>
      </c>
      <c r="E30" s="91" t="inlineStr"/>
      <c r="F30" s="91" t="n">
        <v>38</v>
      </c>
      <c r="G30" s="95" t="inlineStr">
        <is>
          <t>SPLIT — not a count</t>
        </is>
      </c>
      <c r="I30">
        <f>IF($H30="","",$H30-$F30)</f>
        <v/>
      </c>
      <c r="J30">
        <f>IF($H30="","NOT COUNTED",IF($I30=0,"MATCH",IF($I30&gt;0,"FOUND +"&amp;$I30,"SHORT "&amp;$I30)))</f>
        <v/>
      </c>
      <c r="K30">
        <f>IFERROR(IF($H30="","",$H30*INDEX(LANDED_COST_BUILD!$O:$O,MATCH(LEFT($A30,LEN($A30)-3),LANDED_COST_BUILD!$A:$A,0))*FX_USD_KES),"")</f>
        <v/>
      </c>
    </row>
    <row r="31">
      <c r="A31" s="91" t="inlineStr">
        <is>
          <t>UC-BOG-SQB-014-GY</t>
        </is>
      </c>
      <c r="B31" s="91" t="inlineStr">
        <is>
          <t>Flex</t>
        </is>
      </c>
      <c r="C31" s="91" t="inlineStr">
        <is>
          <t>Grey</t>
        </is>
      </c>
      <c r="D31" s="91" t="inlineStr">
        <is>
          <t>1000 ml</t>
        </is>
      </c>
      <c r="E31" s="91" t="inlineStr"/>
      <c r="F31" s="91" t="n">
        <v>38</v>
      </c>
      <c r="G31" s="95" t="inlineStr">
        <is>
          <t>SPLIT — not a count</t>
        </is>
      </c>
      <c r="I31">
        <f>IF($H31="","",$H31-$F31)</f>
        <v/>
      </c>
      <c r="J31">
        <f>IF($H31="","NOT COUNTED",IF($I31=0,"MATCH",IF($I31&gt;0,"FOUND +"&amp;$I31,"SHORT "&amp;$I31)))</f>
        <v/>
      </c>
      <c r="K31">
        <f>IFERROR(IF($H31="","",$H31*INDEX(LANDED_COST_BUILD!$O:$O,MATCH(LEFT($A31,LEN($A31)-3),LANDED_COST_BUILD!$A:$A,0))*FX_USD_KES),"")</f>
        <v/>
      </c>
    </row>
    <row r="32">
      <c r="A32" s="91" t="inlineStr">
        <is>
          <t>UC-BOG-UF-100-XX</t>
        </is>
      </c>
      <c r="B32" s="91" t="inlineStr">
        <is>
          <t>Ultra Fold</t>
        </is>
      </c>
      <c r="C32" s="91" t="inlineStr">
        <is>
          <t>—</t>
        </is>
      </c>
      <c r="D32" s="91" t="inlineStr">
        <is>
          <t>—</t>
        </is>
      </c>
      <c r="E32" s="91" t="inlineStr"/>
      <c r="F32" s="91" t="n">
        <v>0</v>
      </c>
      <c r="G32" s="91" t="inlineStr">
        <is>
          <t>never stocked</t>
        </is>
      </c>
      <c r="I32">
        <f>IF($H32="","",$H32-$F32)</f>
        <v/>
      </c>
      <c r="J32">
        <f>IF($H32="","NOT COUNTED",IF($I32=0,"MATCH",IF($I32&gt;0,"FOUND +"&amp;$I32,"SHORT "&amp;$I32)))</f>
        <v/>
      </c>
      <c r="K32">
        <f>IFERROR(IF($H32="","",$H32*INDEX(LANDED_COST_BUILD!$O:$O,MATCH(LEFT($A32,LEN($A32)-3),LANDED_COST_BUILD!$A:$A,0))*FX_USD_KES),"")</f>
        <v/>
      </c>
    </row>
    <row r="33">
      <c r="A33" s="91" t="inlineStr">
        <is>
          <t>UC-BOG-FCA-015-XX</t>
        </is>
      </c>
      <c r="B33" s="91" t="inlineStr">
        <is>
          <t>Filter Squeeze Ahlstrom</t>
        </is>
      </c>
      <c r="C33" s="91" t="inlineStr">
        <is>
          <t>—</t>
        </is>
      </c>
      <c r="D33" s="91" t="inlineStr">
        <is>
          <t>—</t>
        </is>
      </c>
      <c r="E33" s="91" t="inlineStr"/>
      <c r="F33" s="91" t="n">
        <v>351</v>
      </c>
      <c r="G33" s="91" t="inlineStr">
        <is>
          <t>counted 12 Mar</t>
        </is>
      </c>
      <c r="I33">
        <f>IF($H33="","",$H33-$F33)</f>
        <v/>
      </c>
      <c r="J33">
        <f>IF($H33="","NOT COUNTED",IF($I33=0,"MATCH",IF($I33&gt;0,"FOUND +"&amp;$I33,"SHORT "&amp;$I33)))</f>
        <v/>
      </c>
      <c r="K33">
        <f>IFERROR(IF($H33="","",$H33*INDEX(LANDED_COST_BUILD!$O:$O,MATCH(LEFT($A33,LEN($A33)-3),LANDED_COST_BUILD!$A:$A,0))*FX_USD_KES),"")</f>
        <v/>
      </c>
    </row>
    <row r="34">
      <c r="A34" s="91" t="inlineStr">
        <is>
          <t>UC-BOG-FST-016-BL</t>
        </is>
      </c>
      <c r="B34" s="91" t="inlineStr">
        <is>
          <t>Survivor</t>
        </is>
      </c>
      <c r="C34" s="91" t="inlineStr">
        <is>
          <t>Blue</t>
        </is>
      </c>
      <c r="D34" s="91" t="inlineStr">
        <is>
          <t>—</t>
        </is>
      </c>
      <c r="E34" s="91" t="inlineStr"/>
      <c r="F34" s="91" t="n">
        <v>17</v>
      </c>
      <c r="G34" s="95" t="inlineStr">
        <is>
          <t>SPLIT — not a count</t>
        </is>
      </c>
      <c r="I34">
        <f>IF($H34="","",$H34-$F34)</f>
        <v/>
      </c>
      <c r="J34">
        <f>IF($H34="","NOT COUNTED",IF($I34=0,"MATCH",IF($I34&gt;0,"FOUND +"&amp;$I34,"SHORT "&amp;$I34)))</f>
        <v/>
      </c>
      <c r="K34">
        <f>IFERROR(IF($H34="","",$H34*INDEX(LANDED_COST_BUILD!$O:$O,MATCH(LEFT($A34,LEN($A34)-3),LANDED_COST_BUILD!$A:$A,0))*FX_USD_KES),"")</f>
        <v/>
      </c>
    </row>
    <row r="35">
      <c r="A35" s="91" t="inlineStr">
        <is>
          <t>UC-BOG-FST-016-OR</t>
        </is>
      </c>
      <c r="B35" s="91" t="inlineStr">
        <is>
          <t>Survivor</t>
        </is>
      </c>
      <c r="C35" s="91" t="inlineStr">
        <is>
          <t>Orange</t>
        </is>
      </c>
      <c r="D35" s="91" t="inlineStr">
        <is>
          <t>—</t>
        </is>
      </c>
      <c r="E35" s="91" t="inlineStr"/>
      <c r="F35" s="91" t="n">
        <v>17</v>
      </c>
      <c r="G35" s="95" t="inlineStr">
        <is>
          <t>SPLIT — not a count</t>
        </is>
      </c>
      <c r="I35">
        <f>IF($H35="","",$H35-$F35)</f>
        <v/>
      </c>
      <c r="J35">
        <f>IF($H35="","NOT COUNTED",IF($I35=0,"MATCH",IF($I35&gt;0,"FOUND +"&amp;$I35,"SHORT "&amp;$I35)))</f>
        <v/>
      </c>
      <c r="K35">
        <f>IFERROR(IF($H35="","",$H35*INDEX(LANDED_COST_BUILD!$O:$O,MATCH(LEFT($A35,LEN($A35)-3),LANDED_COST_BUILD!$A:$A,0))*FX_USD_KES),"")</f>
        <v/>
      </c>
    </row>
    <row r="36">
      <c r="A36" s="91" t="inlineStr">
        <is>
          <t>UC-BOG-FCS-017-XX</t>
        </is>
      </c>
      <c r="B36" s="91" t="inlineStr">
        <is>
          <t>Survivor  filter</t>
        </is>
      </c>
      <c r="C36" s="91" t="inlineStr">
        <is>
          <t>—</t>
        </is>
      </c>
      <c r="D36" s="91" t="inlineStr">
        <is>
          <t>—</t>
        </is>
      </c>
      <c r="E36" s="91" t="inlineStr"/>
      <c r="F36" s="91" t="n">
        <v>0</v>
      </c>
      <c r="G36" s="91" t="inlineStr">
        <is>
          <t>never stocked</t>
        </is>
      </c>
      <c r="I36">
        <f>IF($H36="","",$H36-$F36)</f>
        <v/>
      </c>
      <c r="J36">
        <f>IF($H36="","NOT COUNTED",IF($I36=0,"MATCH",IF($I36&gt;0,"FOUND +"&amp;$I36,"SHORT "&amp;$I36)))</f>
        <v/>
      </c>
      <c r="K36">
        <f>IFERROR(IF($H36="","",$H36*INDEX(LANDED_COST_BUILD!$O:$O,MATCH(LEFT($A36,LEN($A36)-3),LANDED_COST_BUILD!$A:$A,0))*FX_USD_KES),"")</f>
        <v/>
      </c>
    </row>
    <row r="37">
      <c r="A37" s="91" t="inlineStr">
        <is>
          <t>UC-BOG-SHL-018-XX</t>
        </is>
      </c>
      <c r="B37" s="91" t="inlineStr">
        <is>
          <t>Shell</t>
        </is>
      </c>
      <c r="C37" s="91" t="inlineStr">
        <is>
          <t>—</t>
        </is>
      </c>
      <c r="D37" s="91" t="inlineStr">
        <is>
          <t>—</t>
        </is>
      </c>
      <c r="E37" s="91" t="inlineStr"/>
      <c r="F37" s="91" t="n">
        <v>50</v>
      </c>
      <c r="G37" s="91" t="inlineStr">
        <is>
          <t>counted 12 Mar</t>
        </is>
      </c>
      <c r="I37">
        <f>IF($H37="","",$H37-$F37)</f>
        <v/>
      </c>
      <c r="J37">
        <f>IF($H37="","NOT COUNTED",IF($I37=0,"MATCH",IF($I37&gt;0,"FOUND +"&amp;$I37,"SHORT "&amp;$I37)))</f>
        <v/>
      </c>
      <c r="K37">
        <f>IFERROR(IF($H37="","",$H37*INDEX(LANDED_COST_BUILD!$O:$O,MATCH(LEFT($A37,LEN($A37)-3),LANDED_COST_BUILD!$A:$A,0))*FX_USD_KES),"")</f>
        <v/>
      </c>
    </row>
    <row r="38">
      <c r="A38" s="91" t="inlineStr">
        <is>
          <t>UC-SKW-SHF-019-WH</t>
        </is>
      </c>
      <c r="B38" s="91" t="inlineStr">
        <is>
          <t>Chanel</t>
        </is>
      </c>
      <c r="C38" s="91" t="inlineStr">
        <is>
          <t>White / Ceramic</t>
        </is>
      </c>
      <c r="D38" s="91" t="inlineStr">
        <is>
          <t>8 L/min</t>
        </is>
      </c>
      <c r="E38" s="91" t="inlineStr"/>
      <c r="F38" s="91" t="n">
        <v>60</v>
      </c>
      <c r="G38" s="91" t="inlineStr">
        <is>
          <t>counted 12 Mar</t>
        </is>
      </c>
      <c r="I38">
        <f>IF($H38="","",$H38-$F38)</f>
        <v/>
      </c>
      <c r="J38">
        <f>IF($H38="","NOT COUNTED",IF($I38=0,"MATCH",IF($I38&gt;0,"FOUND +"&amp;$I38,"SHORT "&amp;$I38)))</f>
        <v/>
      </c>
      <c r="K38">
        <f>IFERROR(IF($H38="","",$H38*INDEX(LANDED_COST_BUILD!$O:$O,MATCH(LEFT($A38,LEN($A38)-3),LANDED_COST_BUILD!$A:$A,0))*FX_USD_KES),"")</f>
        <v/>
      </c>
    </row>
    <row r="39">
      <c r="A39" s="91" t="inlineStr">
        <is>
          <t>UC-SKW-SHF-020-WH</t>
        </is>
      </c>
      <c r="B39" s="91" t="inlineStr">
        <is>
          <t>Derma Care</t>
        </is>
      </c>
      <c r="C39" s="91" t="inlineStr">
        <is>
          <t>White / Tritan</t>
        </is>
      </c>
      <c r="D39" s="91" t="inlineStr">
        <is>
          <t>8 L/min</t>
        </is>
      </c>
      <c r="E39" s="91" t="inlineStr"/>
      <c r="F39" s="91" t="n">
        <v>50</v>
      </c>
      <c r="G39" s="91" t="inlineStr">
        <is>
          <t>counted 12 Mar</t>
        </is>
      </c>
      <c r="I39">
        <f>IF($H39="","",$H39-$F39)</f>
        <v/>
      </c>
      <c r="J39">
        <f>IF($H39="","NOT COUNTED",IF($I39=0,"MATCH",IF($I39&gt;0,"FOUND +"&amp;$I39,"SHORT "&amp;$I39)))</f>
        <v/>
      </c>
      <c r="K39">
        <f>IFERROR(IF($H39="","",$H39*INDEX(LANDED_COST_BUILD!$O:$O,MATCH(LEFT($A39,LEN($A39)-3),LANDED_COST_BUILD!$A:$A,0))*FX_USD_KES),"")</f>
        <v/>
      </c>
    </row>
    <row r="40">
      <c r="A40" s="91" t="inlineStr">
        <is>
          <t>UC-SKW-SHF-021-SS</t>
        </is>
      </c>
      <c r="B40" s="91" t="inlineStr">
        <is>
          <t>J'adore</t>
        </is>
      </c>
      <c r="C40" s="91" t="inlineStr">
        <is>
          <t>Stainless</t>
        </is>
      </c>
      <c r="D40" s="91" t="inlineStr">
        <is>
          <t>8 L/min</t>
        </is>
      </c>
      <c r="E40" s="91" t="inlineStr"/>
      <c r="F40" s="91" t="n">
        <v>65</v>
      </c>
      <c r="G40" s="91" t="inlineStr">
        <is>
          <t>counted 12 Mar</t>
        </is>
      </c>
      <c r="I40">
        <f>IF($H40="","",$H40-$F40)</f>
        <v/>
      </c>
      <c r="J40">
        <f>IF($H40="","NOT COUNTED",IF($I40=0,"MATCH",IF($I40&gt;0,"FOUND +"&amp;$I40,"SHORT "&amp;$I40)))</f>
        <v/>
      </c>
      <c r="K40">
        <f>IFERROR(IF($H40="","",$H40*INDEX(LANDED_COST_BUILD!$O:$O,MATCH(LEFT($A40,LEN($A40)-3),LANDED_COST_BUILD!$A:$A,0))*FX_USD_KES),"")</f>
        <v/>
      </c>
    </row>
    <row r="41">
      <c r="A41" s="91" t="inlineStr">
        <is>
          <t>UC-SKW-SHF-022-WH</t>
        </is>
      </c>
      <c r="B41" s="91" t="inlineStr">
        <is>
          <t>Pure Drop</t>
        </is>
      </c>
      <c r="C41" s="91" t="inlineStr">
        <is>
          <t>White</t>
        </is>
      </c>
      <c r="D41" s="91" t="inlineStr">
        <is>
          <t>8 L/min</t>
        </is>
      </c>
      <c r="E41" s="91" t="inlineStr"/>
      <c r="F41" s="91" t="n">
        <v>10</v>
      </c>
      <c r="G41" s="91" t="inlineStr">
        <is>
          <t>counted 12 Mar</t>
        </is>
      </c>
      <c r="I41">
        <f>IF($H41="","",$H41-$F41)</f>
        <v/>
      </c>
      <c r="J41">
        <f>IF($H41="","NOT COUNTED",IF($I41=0,"MATCH",IF($I41&gt;0,"FOUND +"&amp;$I41,"SHORT "&amp;$I41)))</f>
        <v/>
      </c>
      <c r="K41">
        <f>IFERROR(IF($H41="","",$H41*INDEX(LANDED_COST_BUILD!$O:$O,MATCH(LEFT($A41,LEN($A41)-3),LANDED_COST_BUILD!$A:$A,0))*FX_USD_KES),"")</f>
        <v/>
      </c>
    </row>
    <row r="42">
      <c r="A42" s="91" t="inlineStr">
        <is>
          <t>UC-SKW-SHC-023-XX</t>
        </is>
      </c>
      <c r="B42" s="91" t="inlineStr">
        <is>
          <t>Shower Filter</t>
        </is>
      </c>
      <c r="C42" s="91" t="inlineStr">
        <is>
          <t>—</t>
        </is>
      </c>
      <c r="D42" s="91" t="inlineStr">
        <is>
          <t>—</t>
        </is>
      </c>
      <c r="E42" s="91" t="inlineStr"/>
      <c r="F42" s="91" t="n">
        <v>94</v>
      </c>
      <c r="G42" s="91" t="inlineStr">
        <is>
          <t>counted 12 Mar</t>
        </is>
      </c>
      <c r="I42">
        <f>IF($H42="","",$H42-$F42)</f>
        <v/>
      </c>
      <c r="J42">
        <f>IF($H42="","NOT COUNTED",IF($I42=0,"MATCH",IF($I42&gt;0,"FOUND +"&amp;$I42,"SHORT "&amp;$I42)))</f>
        <v/>
      </c>
      <c r="K42">
        <f>IFERROR(IF($H42="","",$H42*INDEX(LANDED_COST_BUILD!$O:$O,MATCH(LEFT($A42,LEN($A42)-3),LANDED_COST_BUILD!$A:$A,0))*FX_USD_KES),"")</f>
        <v/>
      </c>
    </row>
    <row r="43">
      <c r="A43" s="91" t="inlineStr">
        <is>
          <t>UC-SKW-DFS-024-WH</t>
        </is>
      </c>
      <c r="B43" s="91" t="inlineStr">
        <is>
          <t>Derma Flux</t>
        </is>
      </c>
      <c r="C43" s="91" t="inlineStr">
        <is>
          <t>White</t>
        </is>
      </c>
      <c r="D43" s="91" t="inlineStr">
        <is>
          <t>—</t>
        </is>
      </c>
      <c r="E43" s="91" t="inlineStr"/>
      <c r="F43" s="91" t="n">
        <v>2</v>
      </c>
      <c r="G43" s="91" t="inlineStr">
        <is>
          <t>counted 12 Mar</t>
        </is>
      </c>
      <c r="I43">
        <f>IF($H43="","",$H43-$F43)</f>
        <v/>
      </c>
      <c r="J43">
        <f>IF($H43="","NOT COUNTED",IF($I43=0,"MATCH",IF($I43&gt;0,"FOUND +"&amp;$I43,"SHORT "&amp;$I43)))</f>
        <v/>
      </c>
      <c r="K43">
        <f>IFERROR(IF($H43="","",$H43*INDEX(LANDED_COST_BUILD!$O:$O,MATCH(LEFT($A43,LEN($A43)-3),LANDED_COST_BUILD!$A:$A,0))*FX_USD_KES),"")</f>
        <v/>
      </c>
    </row>
    <row r="44">
      <c r="A44" s="91" t="inlineStr">
        <is>
          <t>UC-SKW-DFS-025-XX</t>
        </is>
      </c>
      <c r="B44" s="91" t="inlineStr">
        <is>
          <t>Derma Flux</t>
        </is>
      </c>
      <c r="C44" s="91" t="inlineStr">
        <is>
          <t>—</t>
        </is>
      </c>
      <c r="D44" s="91" t="inlineStr">
        <is>
          <t>—</t>
        </is>
      </c>
      <c r="E44" s="91" t="inlineStr"/>
      <c r="F44" s="91" t="n">
        <v>0</v>
      </c>
      <c r="G44" s="91" t="inlineStr">
        <is>
          <t>never stocked</t>
        </is>
      </c>
      <c r="I44">
        <f>IF($H44="","",$H44-$F44)</f>
        <v/>
      </c>
      <c r="J44">
        <f>IF($H44="","NOT COUNTED",IF($I44=0,"MATCH",IF($I44&gt;0,"FOUND +"&amp;$I44,"SHORT "&amp;$I44)))</f>
        <v/>
      </c>
      <c r="K44">
        <f>IFERROR(IF($H44="","",$H44*INDEX(LANDED_COST_BUILD!$O:$O,MATCH(LEFT($A44,LEN($A44)-3),LANDED_COST_BUILD!$A:$A,0))*FX_USD_KES),"")</f>
        <v/>
      </c>
    </row>
    <row r="45">
      <c r="A45" s="91" t="inlineStr">
        <is>
          <t>UC-SKW-DFS-026-XX</t>
        </is>
      </c>
      <c r="B45" s="91" t="inlineStr">
        <is>
          <t>Derma Flux</t>
        </is>
      </c>
      <c r="C45" s="91" t="inlineStr">
        <is>
          <t>—</t>
        </is>
      </c>
      <c r="D45" s="91" t="inlineStr">
        <is>
          <t>—</t>
        </is>
      </c>
      <c r="E45" s="91" t="inlineStr"/>
      <c r="F45" s="91" t="n">
        <v>0</v>
      </c>
      <c r="G45" s="91" t="inlineStr">
        <is>
          <t>never stocked</t>
        </is>
      </c>
      <c r="I45">
        <f>IF($H45="","",$H45-$F45)</f>
        <v/>
      </c>
      <c r="J45">
        <f>IF($H45="","NOT COUNTED",IF($I45=0,"MATCH",IF($I45&gt;0,"FOUND +"&amp;$I45,"SHORT "&amp;$I45)))</f>
        <v/>
      </c>
      <c r="K45">
        <f>IFERROR(IF($H45="","",$H45*INDEX(LANDED_COST_BUILD!$O:$O,MATCH(LEFT($A45,LEN($A45)-3),LANDED_COST_BUILD!$A:$A,0))*FX_USD_KES),"")</f>
        <v/>
      </c>
    </row>
    <row r="46">
      <c r="A46" s="91" t="inlineStr">
        <is>
          <t>UC-SKW-DFO-027-XX</t>
        </is>
      </c>
      <c r="B46" s="91" t="inlineStr">
        <is>
          <t>Derma Flux  Fiiter</t>
        </is>
      </c>
      <c r="C46" s="91" t="inlineStr">
        <is>
          <t>—</t>
        </is>
      </c>
      <c r="D46" s="91" t="inlineStr">
        <is>
          <t>—</t>
        </is>
      </c>
      <c r="E46" s="91" t="inlineStr"/>
      <c r="F46" s="91" t="n">
        <v>2</v>
      </c>
      <c r="G46" s="91" t="inlineStr">
        <is>
          <t>counted 12 Mar</t>
        </is>
      </c>
      <c r="I46">
        <f>IF($H46="","",$H46-$F46)</f>
        <v/>
      </c>
      <c r="J46">
        <f>IF($H46="","NOT COUNTED",IF($I46=0,"MATCH",IF($I46&gt;0,"FOUND +"&amp;$I46,"SHORT "&amp;$I46)))</f>
        <v/>
      </c>
      <c r="K46">
        <f>IFERROR(IF($H46="","",$H46*INDEX(LANDED_COST_BUILD!$O:$O,MATCH(LEFT($A46,LEN($A46)-3),LANDED_COST_BUILD!$A:$A,0))*FX_USD_KES),"")</f>
        <v/>
      </c>
    </row>
    <row r="47">
      <c r="A47" s="91" t="inlineStr">
        <is>
          <t>UC-HOU-ROP-PP-XX</t>
        </is>
      </c>
      <c r="B47" s="91" t="inlineStr">
        <is>
          <t>RO Replacement</t>
        </is>
      </c>
      <c r="C47" s="91" t="inlineStr">
        <is>
          <t>—</t>
        </is>
      </c>
      <c r="D47" s="91" t="inlineStr">
        <is>
          <t>—</t>
        </is>
      </c>
      <c r="E47" s="91" t="inlineStr"/>
      <c r="F47" s="91" t="n">
        <v>0</v>
      </c>
      <c r="G47" s="91" t="inlineStr">
        <is>
          <t>never stocked</t>
        </is>
      </c>
      <c r="I47">
        <f>IF($H47="","",$H47-$F47)</f>
        <v/>
      </c>
      <c r="J47">
        <f>IF($H47="","NOT COUNTED",IF($I47=0,"MATCH",IF($I47&gt;0,"FOUND +"&amp;$I47,"SHORT "&amp;$I47)))</f>
        <v/>
      </c>
      <c r="K47">
        <f>IFERROR(IF($H47="","",$H47*INDEX(LANDED_COST_BUILD!$O:$O,MATCH(LEFT($A47,LEN($A47)-3),LANDED_COST_BUILD!$A:$A,0))*FX_USD_KES),"")</f>
        <v/>
      </c>
    </row>
    <row r="48">
      <c r="A48" s="91" t="inlineStr">
        <is>
          <t>UC-HOU-ROP-UDF-XX</t>
        </is>
      </c>
      <c r="B48" s="91" t="inlineStr">
        <is>
          <t>RO Replacement</t>
        </is>
      </c>
      <c r="C48" s="91" t="inlineStr">
        <is>
          <t>—</t>
        </is>
      </c>
      <c r="D48" s="91" t="inlineStr">
        <is>
          <t>—</t>
        </is>
      </c>
      <c r="E48" s="91" t="inlineStr"/>
      <c r="F48" s="91" t="n">
        <v>0</v>
      </c>
      <c r="G48" s="91" t="inlineStr">
        <is>
          <t>never stocked</t>
        </is>
      </c>
      <c r="I48">
        <f>IF($H48="","",$H48-$F48)</f>
        <v/>
      </c>
      <c r="J48">
        <f>IF($H48="","NOT COUNTED",IF($I48=0,"MATCH",IF($I48&gt;0,"FOUND +"&amp;$I48,"SHORT "&amp;$I48)))</f>
        <v/>
      </c>
      <c r="K48">
        <f>IFERROR(IF($H48="","",$H48*INDEX(LANDED_COST_BUILD!$O:$O,MATCH(LEFT($A48,LEN($A48)-3),LANDED_COST_BUILD!$A:$A,0))*FX_USD_KES),"")</f>
        <v/>
      </c>
    </row>
    <row r="49">
      <c r="A49" s="91" t="inlineStr">
        <is>
          <t>UC-HOU-ROP-CTO-XX</t>
        </is>
      </c>
      <c r="B49" s="91" t="inlineStr">
        <is>
          <t>RO Replacement</t>
        </is>
      </c>
      <c r="C49" s="91" t="inlineStr">
        <is>
          <t>—</t>
        </is>
      </c>
      <c r="D49" s="91" t="inlineStr">
        <is>
          <t>—</t>
        </is>
      </c>
      <c r="E49" s="91" t="inlineStr"/>
      <c r="F49" s="91" t="n">
        <v>0</v>
      </c>
      <c r="G49" s="91" t="inlineStr">
        <is>
          <t>never stocked</t>
        </is>
      </c>
      <c r="I49">
        <f>IF($H49="","",$H49-$F49)</f>
        <v/>
      </c>
      <c r="J49">
        <f>IF($H49="","NOT COUNTED",IF($I49=0,"MATCH",IF($I49&gt;0,"FOUND +"&amp;$I49,"SHORT "&amp;$I49)))</f>
        <v/>
      </c>
      <c r="K49">
        <f>IFERROR(IF($H49="","",$H49*INDEX(LANDED_COST_BUILD!$O:$O,MATCH(LEFT($A49,LEN($A49)-3),LANDED_COST_BUILD!$A:$A,0))*FX_USD_KES),"")</f>
        <v/>
      </c>
    </row>
    <row r="50">
      <c r="A50" s="91" t="inlineStr">
        <is>
          <t>UC-HOU-ROM-100g-XX</t>
        </is>
      </c>
      <c r="B50" s="91" t="inlineStr">
        <is>
          <t>RO Replacement</t>
        </is>
      </c>
      <c r="C50" s="91" t="inlineStr">
        <is>
          <t>—</t>
        </is>
      </c>
      <c r="D50" s="91" t="inlineStr">
        <is>
          <t>—</t>
        </is>
      </c>
      <c r="E50" s="91" t="inlineStr"/>
      <c r="F50" s="91" t="n">
        <v>0</v>
      </c>
      <c r="G50" s="91" t="inlineStr">
        <is>
          <t>never stocked</t>
        </is>
      </c>
      <c r="I50">
        <f>IF($H50="","",$H50-$F50)</f>
        <v/>
      </c>
      <c r="J50">
        <f>IF($H50="","NOT COUNTED",IF($I50=0,"MATCH",IF($I50&gt;0,"FOUND +"&amp;$I50,"SHORT "&amp;$I50)))</f>
        <v/>
      </c>
      <c r="K50">
        <f>IFERROR(IF($H50="","",$H50*INDEX(LANDED_COST_BUILD!$O:$O,MATCH(LEFT($A50,LEN($A50)-3),LANDED_COST_BUILD!$A:$A,0))*FX_USD_KES),"")</f>
        <v/>
      </c>
    </row>
    <row r="51">
      <c r="A51" s="91" t="inlineStr">
        <is>
          <t>UC-HOU-RO-YMT33-XX</t>
        </is>
      </c>
      <c r="B51" s="91" t="inlineStr">
        <is>
          <t>RO Replacement</t>
        </is>
      </c>
      <c r="C51" s="91" t="inlineStr">
        <is>
          <t>—</t>
        </is>
      </c>
      <c r="D51" s="91" t="inlineStr">
        <is>
          <t>—</t>
        </is>
      </c>
      <c r="E51" s="91" t="inlineStr"/>
      <c r="F51" s="91" t="n">
        <v>0</v>
      </c>
      <c r="G51" s="91" t="inlineStr">
        <is>
          <t>never stocked</t>
        </is>
      </c>
      <c r="I51">
        <f>IF($H51="","",$H51-$F51)</f>
        <v/>
      </c>
      <c r="J51">
        <f>IF($H51="","NOT COUNTED",IF($I51=0,"MATCH",IF($I51&gt;0,"FOUND +"&amp;$I51,"SHORT "&amp;$I51)))</f>
        <v/>
      </c>
      <c r="K51">
        <f>IFERROR(IF($H51="","",$H51*INDEX(LANDED_COST_BUILD!$O:$O,MATCH(LEFT($A51,LEN($A51)-3),LANDED_COST_BUILD!$A:$A,0))*FX_USD_KES),"")</f>
        <v/>
      </c>
    </row>
    <row r="52">
      <c r="A52" s="91" t="inlineStr">
        <is>
          <t>UC-HOU-RO-CBT33-XX</t>
        </is>
      </c>
      <c r="B52" s="91" t="inlineStr">
        <is>
          <t>RO Replacement</t>
        </is>
      </c>
      <c r="C52" s="91" t="inlineStr">
        <is>
          <t>—</t>
        </is>
      </c>
      <c r="D52" s="91" t="inlineStr">
        <is>
          <t>—</t>
        </is>
      </c>
      <c r="E52" s="91" t="inlineStr"/>
      <c r="F52" s="91" t="n">
        <v>0</v>
      </c>
      <c r="G52" s="91" t="inlineStr">
        <is>
          <t>never stocked</t>
        </is>
      </c>
      <c r="I52">
        <f>IF($H52="","",$H52-$F52)</f>
        <v/>
      </c>
      <c r="J52">
        <f>IF($H52="","NOT COUNTED",IF($I52=0,"MATCH",IF($I52&gt;0,"FOUND +"&amp;$I52,"SHORT "&amp;$I52)))</f>
        <v/>
      </c>
      <c r="K52">
        <f>IFERROR(IF($H52="","",$H52*INDEX(LANDED_COST_BUILD!$O:$O,MATCH(LEFT($A52,LEN($A52)-3),LANDED_COST_BUILD!$A:$A,0))*FX_USD_KES),"")</f>
        <v/>
      </c>
    </row>
    <row r="53">
      <c r="A53" s="91" t="inlineStr">
        <is>
          <t>UC-BOG-ECO-ECF1-XX</t>
        </is>
      </c>
      <c r="B53" s="91" t="inlineStr">
        <is>
          <t>Ecosmart Filter</t>
        </is>
      </c>
      <c r="C53" s="91" t="inlineStr">
        <is>
          <t>—</t>
        </is>
      </c>
      <c r="D53" s="91" t="inlineStr">
        <is>
          <t>—</t>
        </is>
      </c>
      <c r="E53" s="91" t="inlineStr"/>
      <c r="F53" s="91" t="n">
        <v>0</v>
      </c>
      <c r="G53" s="91" t="inlineStr">
        <is>
          <t>never stocked</t>
        </is>
      </c>
      <c r="I53">
        <f>IF($H53="","",$H53-$F53)</f>
        <v/>
      </c>
      <c r="J53">
        <f>IF($H53="","NOT COUNTED",IF($I53=0,"MATCH",IF($I53&gt;0,"FOUND +"&amp;$I53,"SHORT "&amp;$I53)))</f>
        <v/>
      </c>
      <c r="K53">
        <f>IFERROR(IF($H53="","",$H53*INDEX(LANDED_COST_BUILD!$O:$O,MATCH(LEFT($A53,LEN($A53)-3),LANDED_COST_BUILD!$A:$A,0))*FX_USD_KES),"")</f>
        <v/>
      </c>
    </row>
    <row r="54">
      <c r="A54" s="91" t="inlineStr">
        <is>
          <t>UC-HOU-ROT-029-XX</t>
        </is>
      </c>
      <c r="B54" s="91" t="inlineStr">
        <is>
          <t>RO Mini Tank</t>
        </is>
      </c>
      <c r="C54" s="91" t="inlineStr">
        <is>
          <t>—</t>
        </is>
      </c>
      <c r="D54" s="91" t="inlineStr">
        <is>
          <t>0.5 gal</t>
        </is>
      </c>
      <c r="E54" s="91" t="inlineStr"/>
      <c r="F54" s="91" t="n">
        <v>0</v>
      </c>
      <c r="G54" s="91" t="inlineStr">
        <is>
          <t>never stocked</t>
        </is>
      </c>
      <c r="I54">
        <f>IF($H54="","",$H54-$F54)</f>
        <v/>
      </c>
      <c r="J54">
        <f>IF($H54="","NOT COUNTED",IF($I54=0,"MATCH",IF($I54&gt;0,"FOUND +"&amp;$I54,"SHORT "&amp;$I54)))</f>
        <v/>
      </c>
      <c r="K54">
        <f>IFERROR(IF($H54="","",$H54*INDEX(LANDED_COST_BUILD!$O:$O,MATCH(LEFT($A54,LEN($A54)-3),LANDED_COST_BUILD!$A:$A,0))*FX_USD_KES),"")</f>
        <v/>
      </c>
    </row>
    <row r="56">
      <c r="A56" s="88" t="inlineStr">
        <is>
          <t>TOTALS</t>
        </is>
      </c>
      <c r="F56" s="88">
        <f>SUM(F6:F54)</f>
        <v/>
      </c>
      <c r="H56" s="88">
        <f>SUM(H6:H54)</f>
        <v/>
      </c>
      <c r="K56" s="88">
        <f>SUM(K6:K54)</f>
        <v/>
      </c>
    </row>
    <row r="58">
      <c r="A58" s="88" t="inlineStr">
        <is>
          <t>Rules</t>
        </is>
      </c>
    </row>
    <row r="59">
      <c r="A59" t="inlineStr">
        <is>
          <t>1. Count the CHILD, never the parent. A green bottle and a black bottle are two lines.</t>
        </is>
      </c>
    </row>
    <row r="60">
      <c r="A60" t="inlineStr">
        <is>
          <t>2. Leave COUNTED blank if the line was not reached. Blank is not zero.</t>
        </is>
      </c>
    </row>
    <row r="61">
      <c r="A61" t="inlineStr">
        <is>
          <t>3. Anything found that is not on this sheet is a finding — write it at the bottom, do not force it onto a line.</t>
        </is>
      </c>
    </row>
    <row r="62">
      <c r="A62" t="inlineStr">
        <is>
          <t>4. The count date goes in D3 before anyone starts. A quantity without a date is not a quantity.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WYCHIM</dc:creator>
  <dcterms:created xmlns:dcterms="http://purl.org/dc/terms/" xmlns:xsi="http://www.w3.org/2001/XMLSchema-instance" xsi:type="dcterms:W3CDTF">2025-11-22T07:00:22Z</dcterms:created>
  <dcterms:modified xmlns:dcterms="http://purl.org/dc/terms/" xmlns:xsi="http://www.w3.org/2001/XMLSchema-instance" xsi:type="dcterms:W3CDTF">2026-09-23T07:29:25Z</dcterms:modified>
  <cp:lastModifiedBy>Royce, Jerry (Student)</cp:lastModifiedBy>
</cp:coreProperties>
</file>